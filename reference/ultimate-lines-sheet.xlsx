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_Summary" sheetId="1" r:id="rId4"/>
    <sheet state="hidden" name="Sheet4" sheetId="2" r:id="rId5"/>
    <sheet state="visible" name="Template" sheetId="3" r:id="rId6"/>
    <sheet state="visible" name="G1" sheetId="4" r:id="rId7"/>
    <sheet state="visible" name="G2" sheetId="5" r:id="rId8"/>
    <sheet state="visible" name="G3" sheetId="6" r:id="rId9"/>
    <sheet state="visible" name="G4" sheetId="7" r:id="rId10"/>
    <sheet state="visible" name="G5" sheetId="8" r:id="rId11"/>
    <sheet state="visible" name="G6" sheetId="9" r:id="rId12"/>
    <sheet state="visible" name="G7" sheetId="10" r:id="rId13"/>
    <sheet state="visible" name="Print_Stats" sheetId="11" r:id="rId14"/>
  </sheets>
  <definedNames/>
  <calcPr/>
  <extLst>
    <ext uri="GoogleSheetsCustomDataVersion2">
      <go:sheetsCustomData xmlns:go="http://customooxmlschemas.google.com/" r:id="rId15" roundtripDataChecksum="WUrQbUXbt3p85DoadiD26j2PAHOAGiPa8PF/cqvkxDo="/>
    </ext>
  </extLst>
</workbook>
</file>

<file path=xl/sharedStrings.xml><?xml version="1.0" encoding="utf-8"?>
<sst xmlns="http://schemas.openxmlformats.org/spreadsheetml/2006/main" count="674" uniqueCount="132">
  <si>
    <t>Dodos</t>
  </si>
  <si>
    <t>Name</t>
  </si>
  <si>
    <t>Points Played</t>
  </si>
  <si>
    <t>O Points</t>
  </si>
  <si>
    <t>D Points</t>
  </si>
  <si>
    <t>O Rating</t>
  </si>
  <si>
    <t>D Rating</t>
  </si>
  <si>
    <t>O Hold Rate</t>
  </si>
  <si>
    <t>D Break Rate</t>
  </si>
  <si>
    <t>Introduction</t>
  </si>
  <si>
    <t>G1</t>
  </si>
  <si>
    <t>G2</t>
  </si>
  <si>
    <t>G3</t>
  </si>
  <si>
    <t>G4</t>
  </si>
  <si>
    <t>G5</t>
  </si>
  <si>
    <t>G6</t>
  </si>
  <si>
    <t>G7</t>
  </si>
  <si>
    <t>Count</t>
  </si>
  <si>
    <t>Total Count</t>
  </si>
  <si>
    <t>MMP 1</t>
  </si>
  <si>
    <t>MMP 2</t>
  </si>
  <si>
    <t>MMP 3</t>
  </si>
  <si>
    <t>MMP 4</t>
  </si>
  <si>
    <t>MMP 5</t>
  </si>
  <si>
    <t>MMP 6</t>
  </si>
  <si>
    <t>MMP 7</t>
  </si>
  <si>
    <t>MMP 8</t>
  </si>
  <si>
    <t>MMP 9</t>
  </si>
  <si>
    <t>MMP 10</t>
  </si>
  <si>
    <t>MMP 11</t>
  </si>
  <si>
    <t>MMP 12</t>
  </si>
  <si>
    <t>MMP 13</t>
  </si>
  <si>
    <t>Penguins</t>
  </si>
  <si>
    <t>FMP 1</t>
  </si>
  <si>
    <t>FMP 2</t>
  </si>
  <si>
    <t>FMP 3</t>
  </si>
  <si>
    <t>FMP 4</t>
  </si>
  <si>
    <t>FMP 5</t>
  </si>
  <si>
    <t>FMP 6</t>
  </si>
  <si>
    <t>FMP 7</t>
  </si>
  <si>
    <t>FMP 8</t>
  </si>
  <si>
    <t>FMP 9</t>
  </si>
  <si>
    <t>FMP 10</t>
  </si>
  <si>
    <t>FMP 11</t>
  </si>
  <si>
    <t>FMP 12</t>
  </si>
  <si>
    <t>FMP 13</t>
  </si>
  <si>
    <t>Stats</t>
  </si>
  <si>
    <t>Goals</t>
  </si>
  <si>
    <t>Assists</t>
  </si>
  <si>
    <t>Blocks</t>
  </si>
  <si>
    <t>Turns</t>
  </si>
  <si>
    <t>Current Game</t>
  </si>
  <si>
    <t>Tournament Efficiency</t>
  </si>
  <si>
    <t>Total Points Offense</t>
  </si>
  <si>
    <t>Total Offense Rating</t>
  </si>
  <si>
    <t>Offense Hold Efficiency</t>
  </si>
  <si>
    <t>Total Points Defense</t>
  </si>
  <si>
    <t>Total Defense Rating</t>
  </si>
  <si>
    <t>Defense Break Efficiency</t>
  </si>
  <si>
    <t>June Bloom</t>
  </si>
  <si>
    <t>Rev</t>
  </si>
  <si>
    <t>FP</t>
  </si>
  <si>
    <t>Andrew</t>
  </si>
  <si>
    <t>missed half Rev</t>
  </si>
  <si>
    <t>Bayou</t>
  </si>
  <si>
    <t>Caliber (D)</t>
  </si>
  <si>
    <t>Missed a few points at Rev</t>
  </si>
  <si>
    <t>Chengo (D)</t>
  </si>
  <si>
    <t>Late to Rev</t>
  </si>
  <si>
    <t>Jack (O)</t>
  </si>
  <si>
    <t>Stitch</t>
  </si>
  <si>
    <t>Missed some of FP</t>
  </si>
  <si>
    <t>Roe (D)</t>
  </si>
  <si>
    <t>Missed most of FP</t>
  </si>
  <si>
    <t>Paul (D)</t>
  </si>
  <si>
    <t>Shu (D)</t>
  </si>
  <si>
    <t>Aaron (D)</t>
  </si>
  <si>
    <t>Missed time at June Bloom and FP</t>
  </si>
  <si>
    <t>Justen (O)</t>
  </si>
  <si>
    <t>Missed June Bloom (1/2}</t>
  </si>
  <si>
    <t>Prizzma</t>
  </si>
  <si>
    <t>No June Bloom</t>
  </si>
  <si>
    <t>Maple (O)</t>
  </si>
  <si>
    <t>Klaw (O)</t>
  </si>
  <si>
    <t>Ladle</t>
  </si>
  <si>
    <t>Neo</t>
  </si>
  <si>
    <t>No Rev, 1/2 of June Bloom</t>
  </si>
  <si>
    <t>Lynn (D)</t>
  </si>
  <si>
    <t>Missed a few points at FP</t>
  </si>
  <si>
    <t>Pike (O)</t>
  </si>
  <si>
    <t>Puffin</t>
  </si>
  <si>
    <t>Missed time at June Bloom, no Rev</t>
  </si>
  <si>
    <t>Tonic</t>
  </si>
  <si>
    <t>Kipo (D)</t>
  </si>
  <si>
    <t>Stratus</t>
  </si>
  <si>
    <t>O/D Start</t>
  </si>
  <si>
    <t>Up/Down</t>
  </si>
  <si>
    <t>O/D Half</t>
  </si>
  <si>
    <t>Half Cap</t>
  </si>
  <si>
    <t>MMP</t>
  </si>
  <si>
    <t>FMP</t>
  </si>
  <si>
    <t>O/D Point</t>
  </si>
  <si>
    <t>Score Us</t>
  </si>
  <si>
    <t>Active?</t>
  </si>
  <si>
    <t>O Count</t>
  </si>
  <si>
    <t>D Count</t>
  </si>
  <si>
    <t>Score Them</t>
  </si>
  <si>
    <t>Running</t>
  </si>
  <si>
    <t>Prev Pts</t>
  </si>
  <si>
    <t>Goal</t>
  </si>
  <si>
    <t>Assist</t>
  </si>
  <si>
    <t>Opp Goal</t>
  </si>
  <si>
    <t>Rating Total</t>
  </si>
  <si>
    <t>O/D Total</t>
  </si>
  <si>
    <t>O Efficiency Rating</t>
  </si>
  <si>
    <t>D Efficiency Rating</t>
  </si>
  <si>
    <t>Timeouts</t>
  </si>
  <si>
    <t>Us</t>
  </si>
  <si>
    <t>Used?</t>
  </si>
  <si>
    <t>Them</t>
  </si>
  <si>
    <t>T1</t>
  </si>
  <si>
    <t>No</t>
  </si>
  <si>
    <t>T2</t>
  </si>
  <si>
    <t>Half</t>
  </si>
  <si>
    <t>Game Format Notes</t>
  </si>
  <si>
    <t>Games to XX</t>
  </si>
  <si>
    <t>YY minute halftime</t>
  </si>
  <si>
    <t>Soft Cap ZZ minutes</t>
  </si>
  <si>
    <t>Hard Cap AA minutes</t>
  </si>
  <si>
    <t>BB timeout per half + CC floater</t>
  </si>
  <si>
    <t>DD second timeouts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</si>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</sst>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2" fillId="0" fontId="5" numFmtId="0" xfId="0" applyBorder="1" applyFont="1"/>
    <xf borderId="1" fillId="0" fontId="4" numFmtId="9" xfId="0" applyBorder="1" applyFont="1" applyNumberFormat="1"/>
    <xf borderId="0" fillId="0" fontId="5" numFmtId="0" xfId="0" applyAlignment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Border="1" applyFont="1"/>
    <xf borderId="1" fillId="0" fontId="1" numFmtId="9" xfId="0" applyBorder="1" applyFont="1" applyNumberFormat="1"/>
    <xf borderId="1" fillId="0" fontId="2" numFmtId="0" xfId="0" applyAlignment="1" applyBorder="1" applyFont="1">
      <alignment horizontal="right" readingOrder="0"/>
    </xf>
    <xf borderId="2" fillId="0" fontId="5" numFmtId="9" xfId="0" applyBorder="1" applyFont="1" applyNumberFormat="1"/>
    <xf borderId="1" fillId="0" fontId="5" numFmtId="9" xfId="0" applyBorder="1" applyFont="1" applyNumberFormat="1"/>
    <xf borderId="0" fillId="0" fontId="2" numFmtId="0" xfId="0" applyFont="1"/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right"/>
    </xf>
    <xf borderId="0" fillId="0" fontId="5" numFmtId="0" xfId="0" applyFont="1"/>
    <xf borderId="0" fillId="2" fontId="5" numFmtId="10" xfId="0" applyFill="1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readingOrder="0"/>
    </xf>
    <xf borderId="0" fillId="3" fontId="5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1" fillId="4" fontId="4" numFmtId="0" xfId="0" applyBorder="1" applyFill="1" applyFont="1"/>
    <xf borderId="0" fillId="0" fontId="4" numFmtId="0" xfId="0" applyFont="1"/>
    <xf borderId="0" fillId="0" fontId="5" numFmtId="164" xfId="0" applyFont="1" applyNumberFormat="1"/>
    <xf borderId="2" fillId="0" fontId="2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5" fontId="5" numFmtId="0" xfId="0" applyFill="1" applyFont="1"/>
    <xf borderId="5" fillId="5" fontId="5" numFmtId="0" xfId="0" applyBorder="1" applyFont="1"/>
    <xf borderId="6" fillId="0" fontId="1" numFmtId="0" xfId="0" applyAlignment="1" applyBorder="1" applyFont="1">
      <alignment horizontal="center" vertical="bottom"/>
    </xf>
    <xf borderId="7" fillId="0" fontId="7" numFmtId="0" xfId="0" applyBorder="1" applyFont="1"/>
    <xf borderId="8" fillId="0" fontId="7" numFmtId="0" xfId="0" applyBorder="1" applyFont="1"/>
    <xf borderId="6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0" fillId="0" fontId="7" numFmtId="0" xfId="0" applyBorder="1" applyFont="1"/>
    <xf borderId="11" fillId="0" fontId="1" numFmtId="0" xfId="0" applyAlignment="1" applyBorder="1" applyFont="1">
      <alignment horizontal="center" readingOrder="0" vertical="bottom"/>
    </xf>
    <xf borderId="5" fillId="0" fontId="7" numFmtId="0" xfId="0" applyBorder="1" applyFont="1"/>
    <xf borderId="12" fillId="0" fontId="7" numFmtId="0" xfId="0" applyBorder="1" applyFont="1"/>
    <xf borderId="1" fillId="0" fontId="4" numFmtId="0" xfId="0" applyAlignment="1" applyBorder="1" applyFont="1">
      <alignment readingOrder="0"/>
    </xf>
    <xf borderId="13" fillId="0" fontId="1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4" numFmtId="0" xfId="0" applyBorder="1" applyFont="1"/>
    <xf borderId="16" fillId="0" fontId="5" numFmtId="0" xfId="0" applyBorder="1" applyFont="1"/>
    <xf borderId="17" fillId="0" fontId="4" numFmtId="0" xfId="0" applyBorder="1" applyFont="1"/>
    <xf borderId="18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6" fillId="5" fontId="1" numFmtId="0" xfId="0" applyAlignment="1" applyBorder="1" applyFont="1">
      <alignment vertical="bottom"/>
    </xf>
    <xf borderId="7" fillId="5" fontId="4" numFmtId="0" xfId="0" applyAlignment="1" applyBorder="1" applyFont="1">
      <alignment vertical="bottom"/>
    </xf>
    <xf borderId="8" fillId="5" fontId="4" numFmtId="0" xfId="0" applyAlignment="1" applyBorder="1" applyFont="1">
      <alignment vertical="bottom"/>
    </xf>
    <xf borderId="9" fillId="5" fontId="4" numFmtId="0" xfId="0" applyAlignment="1" applyBorder="1" applyFont="1">
      <alignment vertical="bottom"/>
    </xf>
    <xf borderId="0" fillId="5" fontId="4" numFmtId="0" xfId="0" applyAlignment="1" applyFont="1">
      <alignment vertical="bottom"/>
    </xf>
    <xf borderId="10" fillId="5" fontId="4" numFmtId="0" xfId="0" applyAlignment="1" applyBorder="1" applyFont="1">
      <alignment vertical="bottom"/>
    </xf>
    <xf borderId="11" fillId="5" fontId="4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12" fillId="5" fontId="4" numFmtId="0" xfId="0" applyAlignment="1" applyBorder="1" applyFont="1">
      <alignment vertical="bottom"/>
    </xf>
  </cellXfs>
  <cellStyles count="1">
    <cellStyle xfId="0" name="Normal" builtinId="0"/>
  </cellStyles>
  <dxfs count="19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5050"/>
          <bgColor rgb="FFFF505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1.86"/>
    <col customWidth="1" min="11" max="12" width="22.71"/>
    <col customWidth="1" min="13" max="13" width="95.71"/>
    <col customWidth="1" min="14" max="14" width="14.14"/>
    <col customWidth="1" min="15" max="19" width="9.43"/>
  </cols>
  <sheetData>
    <row r="3">
      <c r="B3" s="1" t="s">
        <v>0</v>
      </c>
      <c r="C3" s="1" t="s">
        <v>1</v>
      </c>
      <c r="D3" s="2" t="s">
        <v>2</v>
      </c>
      <c r="E3" s="2" t="s">
        <v>3</v>
      </c>
      <c r="F3" s="3" t="s">
        <v>4</v>
      </c>
      <c r="G3" s="2" t="s">
        <v>5</v>
      </c>
      <c r="H3" s="2" t="s">
        <v>6</v>
      </c>
      <c r="I3" s="2" t="s">
        <v>7</v>
      </c>
      <c r="J3" s="2" t="s">
        <v>8</v>
      </c>
      <c r="L3" s="4" t="s">
        <v>0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4" t="s">
        <v>18</v>
      </c>
    </row>
    <row r="4">
      <c r="B4" s="5"/>
      <c r="C4" s="5" t="s">
        <v>19</v>
      </c>
      <c r="D4" s="6">
        <f>'G1'!AF9+'G2'!AF9+'G3'!AF9+'G4'!AF9+'G5'!AF9+'G6'!AF9+'G7'!AF9</f>
        <v>0</v>
      </c>
      <c r="E4" s="6">
        <f>'G1'!AG9+'G2'!AG9+'G3'!AG9+'G4'!AG9+'G5'!AG9+'G6'!AG9+'G7'!AG9</f>
        <v>0</v>
      </c>
      <c r="F4" s="7">
        <f>'G1'!AH9+'G2'!AH9+'G3'!AH9+'G4'!AH9+'G5'!AH9+'G6'!AH9+'G7'!AH9</f>
        <v>0</v>
      </c>
      <c r="G4" s="5">
        <f>'G1'!AI9+'G2'!AI9+'G3'!AI9+'G4'!AI9+'G5'!AI9+'G6'!AI9+'G7'!AI9</f>
        <v>0</v>
      </c>
      <c r="H4" s="5">
        <f>'G1'!AJ9 +'G2'!AJ9+'G3'!AJ9+'G4'!AJ9+'G5'!AJ9+'G6'!AJ9+'G7'!AJ9</f>
        <v>0</v>
      </c>
      <c r="I4" s="8" t="str">
        <f t="shared" ref="I4:I16" si="1">IF(E4=0,, 1-ABS(G4)/E4)</f>
        <v/>
      </c>
      <c r="J4" s="8" t="str">
        <f t="shared" ref="J4:J16" si="2">IF(F4=0,, ABS(H4)/F4)</f>
        <v/>
      </c>
      <c r="K4" s="9"/>
      <c r="L4" s="10" t="str">
        <f t="shared" ref="L4:L16" si="3">C4</f>
        <v>MMP 1</v>
      </c>
      <c r="M4" s="6"/>
      <c r="N4" s="6"/>
      <c r="O4" s="6" t="str">
        <f>IF($O$32="G2", 'G2'!$D9,"")</f>
        <v/>
      </c>
      <c r="P4" s="6" t="str">
        <f>IF($O$32="G3", 'G3'!$D9,"")</f>
        <v/>
      </c>
      <c r="Q4" s="6" t="str">
        <f>IF($O$32="G4", 'G4'!$D9,"")</f>
        <v/>
      </c>
      <c r="R4" s="6" t="str">
        <f>IF($O$32="G5", 'G5'!$D9,"")</f>
        <v/>
      </c>
      <c r="S4" s="6" t="str">
        <f>IF($O$32="G6", 'G6'!$D9,"")</f>
        <v/>
      </c>
      <c r="T4" s="6" t="str">
        <f>IF($O$32="G7", 'G7'!$D9,"")</f>
        <v/>
      </c>
      <c r="U4" s="6">
        <f t="shared" ref="U4:U16" si="4">SUM(N4:T4)</f>
        <v>0</v>
      </c>
      <c r="V4" s="11">
        <f>'G1'!$D9+'G2'!$D9+'G3'!$D9+'G4'!$D9+'G5'!$D9+'G6'!$D9+'G7'!$D9</f>
        <v>0</v>
      </c>
    </row>
    <row r="5">
      <c r="B5" s="5"/>
      <c r="C5" s="5" t="s">
        <v>20</v>
      </c>
      <c r="D5" s="6">
        <f>'G1'!AF10+'G2'!AF10+'G3'!AF10+'G4'!AF10+'G5'!AF10+'G6'!AF10+'G7'!AF10</f>
        <v>0</v>
      </c>
      <c r="E5" s="6">
        <f>'G1'!AG10+'G2'!AG10+'G3'!AG10+'G4'!AG10+'G5'!AG10+'G6'!AG10+'G7'!AG10</f>
        <v>0</v>
      </c>
      <c r="F5" s="7">
        <f>'G1'!AH10+'G2'!AH10+'G3'!AH10+'G4'!AH10+'G5'!AH10+'G6'!AH10+'G7'!AH10</f>
        <v>0</v>
      </c>
      <c r="G5" s="5">
        <f>'G1'!AI10+'G2'!AI10+'G3'!AI10+'G4'!AI10+'G5'!AI10+'G6'!AI10+'G7'!AI10</f>
        <v>0</v>
      </c>
      <c r="H5" s="5">
        <f>'G1'!AJ10 +'G2'!AJ10+'G3'!AJ10+'G4'!AJ10+'G5'!AJ10+'G6'!AJ10+'G7'!AJ10</f>
        <v>0</v>
      </c>
      <c r="I5" s="8" t="str">
        <f t="shared" si="1"/>
        <v/>
      </c>
      <c r="J5" s="8" t="str">
        <f t="shared" si="2"/>
        <v/>
      </c>
      <c r="K5" s="9"/>
      <c r="L5" s="10" t="str">
        <f t="shared" si="3"/>
        <v>MMP 2</v>
      </c>
      <c r="M5" s="6"/>
      <c r="N5" s="6" t="str">
        <f>IF($O$32="G1", 'G1'!$D10,"")</f>
        <v/>
      </c>
      <c r="O5" s="6" t="str">
        <f>IF($O$32="G2", 'G2'!$D10,"")</f>
        <v/>
      </c>
      <c r="P5" s="6" t="str">
        <f>IF($O$32="G3", 'G3'!$D10,"")</f>
        <v/>
      </c>
      <c r="Q5" s="6" t="str">
        <f>IF($O$32="G4", 'G4'!$D10,"")</f>
        <v/>
      </c>
      <c r="R5" s="6" t="str">
        <f>IF($O$32="G5", 'G5'!$D10,"")</f>
        <v/>
      </c>
      <c r="S5" s="6" t="str">
        <f>IF($O$32="G6", 'G6'!$D10,"")</f>
        <v/>
      </c>
      <c r="T5" s="6" t="str">
        <f>IF($O$32="G7", 'G7'!$D10,"")</f>
        <v/>
      </c>
      <c r="U5" s="6">
        <f t="shared" si="4"/>
        <v>0</v>
      </c>
      <c r="V5" s="11">
        <f>'G1'!$D10+'G2'!$D10+'G3'!$D10+'G4'!$D10+'G5'!$D10+'G6'!$D10+'G7'!$D10</f>
        <v>0</v>
      </c>
    </row>
    <row r="6">
      <c r="B6" s="5"/>
      <c r="C6" s="5" t="s">
        <v>21</v>
      </c>
      <c r="D6" s="6">
        <f>'G1'!AF11+'G2'!AF11+'G3'!AF11+'G4'!AF11+'G5'!AF11+'G6'!AF11+'G7'!AF11</f>
        <v>0</v>
      </c>
      <c r="E6" s="6">
        <f>'G1'!AG11+'G2'!AG11+'G3'!AG11+'G4'!AG11+'G5'!AG11+'G6'!AG11+'G7'!AG11</f>
        <v>0</v>
      </c>
      <c r="F6" s="7">
        <f>'G1'!AH11+'G2'!AH11+'G3'!AH11+'G4'!AH11+'G5'!AH11+'G6'!AH11+'G7'!AH11</f>
        <v>0</v>
      </c>
      <c r="G6" s="5">
        <f>'G1'!AI11+'G2'!AI11+'G3'!AI11+'G4'!AI11+'G5'!AI11+'G6'!AI11+'G7'!AI11</f>
        <v>0</v>
      </c>
      <c r="H6" s="5">
        <f>'G1'!AJ11 +'G2'!AJ11+'G3'!AJ11+'G4'!AJ11+'G5'!AJ11+'G6'!AJ11+'G7'!AJ11</f>
        <v>0</v>
      </c>
      <c r="I6" s="8" t="str">
        <f t="shared" si="1"/>
        <v/>
      </c>
      <c r="J6" s="8" t="str">
        <f t="shared" si="2"/>
        <v/>
      </c>
      <c r="K6" s="9"/>
      <c r="L6" s="10" t="str">
        <f t="shared" si="3"/>
        <v>MMP 3</v>
      </c>
      <c r="M6" s="6"/>
      <c r="N6" s="6" t="str">
        <f>IF($O$32="G1", 'G1'!$D11,"")</f>
        <v/>
      </c>
      <c r="O6" s="6" t="str">
        <f>IF($O$32="G2", 'G2'!$D11,"")</f>
        <v/>
      </c>
      <c r="P6" s="6" t="str">
        <f>IF($O$32="G3", 'G3'!$D11,"")</f>
        <v/>
      </c>
      <c r="Q6" s="6" t="str">
        <f>IF($O$32="G4", 'G4'!$D11,"")</f>
        <v/>
      </c>
      <c r="R6" s="6" t="str">
        <f>IF($O$32="G5", 'G5'!$D11,"")</f>
        <v/>
      </c>
      <c r="S6" s="6" t="str">
        <f>IF($O$32="G6", 'G6'!$D11,"")</f>
        <v/>
      </c>
      <c r="T6" s="6" t="str">
        <f>IF($O$32="G7", 'G7'!$D11,"")</f>
        <v/>
      </c>
      <c r="U6" s="6">
        <f t="shared" si="4"/>
        <v>0</v>
      </c>
      <c r="V6" s="11">
        <f>'G1'!$D11+'G2'!$D11+'G3'!$D11+'G4'!$D11+'G5'!$D11+'G6'!$D11+'G7'!$D11</f>
        <v>0</v>
      </c>
    </row>
    <row r="7">
      <c r="B7" s="5"/>
      <c r="C7" s="5" t="s">
        <v>22</v>
      </c>
      <c r="D7" s="6">
        <f>'G1'!AF12+'G2'!AF12+'G3'!AF12+'G4'!AF12+'G5'!AF12+'G6'!AF12+'G7'!AF12</f>
        <v>0</v>
      </c>
      <c r="E7" s="6">
        <f>'G1'!AG12+'G2'!AG12+'G3'!AG12+'G4'!AG12+'G5'!AG12+'G6'!AG12+'G7'!AG12</f>
        <v>0</v>
      </c>
      <c r="F7" s="7">
        <f>'G1'!AH12+'G2'!AH12+'G3'!AH12+'G4'!AH12+'G5'!AH12+'G6'!AH12+'G7'!AH12</f>
        <v>0</v>
      </c>
      <c r="G7" s="5">
        <f>'G1'!AI12+'G2'!AI12+'G3'!AI12+'G4'!AI12+'G5'!AI12+'G6'!AI12+'G7'!AI12</f>
        <v>0</v>
      </c>
      <c r="H7" s="5">
        <f>'G1'!AJ12 +'G2'!AJ12+'G3'!AJ12+'G4'!AJ12+'G5'!AJ12+'G6'!AJ12+'G7'!AJ12</f>
        <v>0</v>
      </c>
      <c r="I7" s="8" t="str">
        <f t="shared" si="1"/>
        <v/>
      </c>
      <c r="J7" s="8" t="str">
        <f t="shared" si="2"/>
        <v/>
      </c>
      <c r="K7" s="9"/>
      <c r="L7" s="10" t="str">
        <f t="shared" si="3"/>
        <v>MMP 4</v>
      </c>
      <c r="M7" s="6"/>
      <c r="N7" s="6" t="str">
        <f>IF($O$32="G1", 'G1'!$D12,"")</f>
        <v/>
      </c>
      <c r="O7" s="6" t="str">
        <f>IF($O$32="G2", 'G2'!$D12,"")</f>
        <v/>
      </c>
      <c r="P7" s="6" t="str">
        <f>IF($O$32="G3", 'G3'!$D12,"")</f>
        <v/>
      </c>
      <c r="Q7" s="6" t="str">
        <f>IF($O$32="G4", 'G4'!$D12,"")</f>
        <v/>
      </c>
      <c r="R7" s="6" t="str">
        <f>IF($O$32="G5", 'G5'!$D12,"")</f>
        <v/>
      </c>
      <c r="S7" s="6" t="str">
        <f>IF($O$32="G6", 'G6'!$D12,"")</f>
        <v/>
      </c>
      <c r="T7" s="6" t="str">
        <f>IF($O$32="G7", 'G7'!$D12,"")</f>
        <v/>
      </c>
      <c r="U7" s="6">
        <f t="shared" si="4"/>
        <v>0</v>
      </c>
      <c r="V7" s="11">
        <f>'G1'!$D12+'G2'!$D12+'G3'!$D12+'G4'!$D12+'G5'!$D12+'G6'!$D12+'G7'!$D12</f>
        <v>0</v>
      </c>
    </row>
    <row r="8">
      <c r="B8" s="5"/>
      <c r="C8" s="5" t="s">
        <v>23</v>
      </c>
      <c r="D8" s="6">
        <f>'G1'!AF13+'G2'!AF13+'G3'!AF13+'G4'!AF13+'G5'!AF13+'G6'!AF13+'G7'!AF13</f>
        <v>0</v>
      </c>
      <c r="E8" s="6">
        <f>'G1'!AG13+'G2'!AG13+'G3'!AG13+'G4'!AG13+'G5'!AG13+'G6'!AG13+'G7'!AG13</f>
        <v>0</v>
      </c>
      <c r="F8" s="7">
        <f>'G1'!AH13+'G2'!AH13+'G3'!AH13+'G4'!AH13+'G5'!AH13+'G6'!AH13+'G7'!AH13</f>
        <v>0</v>
      </c>
      <c r="G8" s="5">
        <f>'G1'!AI13+'G2'!AI13+'G3'!AI13+'G4'!AI13+'G5'!AI13+'G6'!AI13+'G7'!AI13</f>
        <v>0</v>
      </c>
      <c r="H8" s="5">
        <f>'G1'!AJ13 +'G2'!AJ13+'G3'!AJ13+'G4'!AJ13+'G5'!AJ13+'G6'!AJ13+'G7'!AJ13</f>
        <v>0</v>
      </c>
      <c r="I8" s="8" t="str">
        <f t="shared" si="1"/>
        <v/>
      </c>
      <c r="J8" s="8" t="str">
        <f t="shared" si="2"/>
        <v/>
      </c>
      <c r="K8" s="9"/>
      <c r="L8" s="10" t="str">
        <f t="shared" si="3"/>
        <v>MMP 5</v>
      </c>
      <c r="M8" s="6"/>
      <c r="N8" s="6" t="str">
        <f>IF($O$32="G1", 'G1'!$D13,"")</f>
        <v/>
      </c>
      <c r="O8" s="6" t="str">
        <f>IF($O$32="G2", 'G2'!$D13,"")</f>
        <v/>
      </c>
      <c r="P8" s="6" t="str">
        <f>IF($O$32="G3", 'G3'!$D13,"")</f>
        <v/>
      </c>
      <c r="Q8" s="6" t="str">
        <f>IF($O$32="G4", 'G4'!$D13,"")</f>
        <v/>
      </c>
      <c r="R8" s="6" t="str">
        <f>IF($O$32="G5", 'G5'!$D13,"")</f>
        <v/>
      </c>
      <c r="S8" s="6" t="str">
        <f>IF($O$32="G6", 'G6'!$D13,"")</f>
        <v/>
      </c>
      <c r="T8" s="6" t="str">
        <f>IF($O$32="G7", 'G7'!$D13,"")</f>
        <v/>
      </c>
      <c r="U8" s="6">
        <f t="shared" si="4"/>
        <v>0</v>
      </c>
      <c r="V8" s="11">
        <f>'G1'!$D13+'G2'!$D13+'G3'!$D13+'G4'!$D13+'G5'!$D13+'G6'!$D13+'G7'!$D13</f>
        <v>0</v>
      </c>
    </row>
    <row r="9">
      <c r="B9" s="5"/>
      <c r="C9" s="5" t="s">
        <v>24</v>
      </c>
      <c r="D9" s="6">
        <f>'G1'!AF14+'G2'!AF14+'G3'!AF14+'G4'!AF14+'G5'!AF14+'G6'!AF14+'G7'!AF14</f>
        <v>0</v>
      </c>
      <c r="E9" s="6">
        <f>'G1'!AG14+'G2'!AG14+'G3'!AG14+'G4'!AG14+'G5'!AG14+'G6'!AG14+'G7'!AG14</f>
        <v>0</v>
      </c>
      <c r="F9" s="7">
        <f>'G1'!AH14+'G2'!AH14+'G3'!AH14+'G4'!AH14+'G5'!AH14+'G6'!AH14+'G7'!AH14</f>
        <v>0</v>
      </c>
      <c r="G9" s="5">
        <f>'G1'!AI14+'G2'!AI14+'G3'!AI14+'G4'!AI14+'G5'!AI14+'G6'!AI14+'G7'!AI14</f>
        <v>0</v>
      </c>
      <c r="H9" s="5">
        <f>'G1'!AJ14 +'G2'!AJ14+'G3'!AJ14+'G4'!AJ14+'G5'!AJ14+'G6'!AJ14+'G7'!AJ14</f>
        <v>0</v>
      </c>
      <c r="I9" s="8" t="str">
        <f t="shared" si="1"/>
        <v/>
      </c>
      <c r="J9" s="8" t="str">
        <f t="shared" si="2"/>
        <v/>
      </c>
      <c r="K9" s="9"/>
      <c r="L9" s="10" t="str">
        <f t="shared" si="3"/>
        <v>MMP 6</v>
      </c>
      <c r="M9" s="6"/>
      <c r="N9" s="6" t="str">
        <f>IF($O$32="G1", 'G1'!$D14,"")</f>
        <v/>
      </c>
      <c r="O9" s="6" t="str">
        <f>IF($O$32="G2", 'G2'!$D14,"")</f>
        <v/>
      </c>
      <c r="P9" s="6" t="str">
        <f>IF($O$32="G3", 'G3'!$D14,"")</f>
        <v/>
      </c>
      <c r="Q9" s="6" t="str">
        <f>IF($O$32="G4", 'G4'!$D14,"")</f>
        <v/>
      </c>
      <c r="R9" s="6" t="str">
        <f>IF($O$32="G5", 'G5'!$D14,"")</f>
        <v/>
      </c>
      <c r="S9" s="6" t="str">
        <f>IF($O$32="G6", 'G6'!$D14,"")</f>
        <v/>
      </c>
      <c r="T9" s="6" t="str">
        <f>IF($O$32="G7", 'G7'!$D14,"")</f>
        <v/>
      </c>
      <c r="U9" s="6">
        <f t="shared" si="4"/>
        <v>0</v>
      </c>
      <c r="V9" s="11">
        <f>'G1'!$D14+'G2'!$D14+'G3'!$D14+'G4'!$D14+'G5'!$D14+'G6'!$D14+'G7'!$D14</f>
        <v>0</v>
      </c>
    </row>
    <row r="10">
      <c r="B10" s="5"/>
      <c r="C10" s="5" t="s">
        <v>25</v>
      </c>
      <c r="D10" s="6">
        <f>'G1'!AF15+'G2'!AF15+'G3'!AF15+'G4'!AF15+'G5'!AF15+'G6'!AF15+'G7'!AF15</f>
        <v>0</v>
      </c>
      <c r="E10" s="6">
        <f>'G1'!AG15+'G2'!AG15+'G3'!AG15+'G4'!AG15+'G5'!AG15+'G6'!AG15+'G7'!AG15</f>
        <v>0</v>
      </c>
      <c r="F10" s="7">
        <f>'G1'!AH15+'G2'!AH15+'G3'!AH15+'G4'!AH15+'G5'!AH15+'G6'!AH15+'G7'!AH15</f>
        <v>0</v>
      </c>
      <c r="G10" s="5">
        <f>'G1'!AI15+'G2'!AI15+'G3'!AI15+'G4'!AI15+'G5'!AI15+'G6'!AI15+'G7'!AI15</f>
        <v>0</v>
      </c>
      <c r="H10" s="5">
        <f>'G1'!AJ15 +'G2'!AJ15+'G3'!AJ15+'G4'!AJ15+'G5'!AJ15+'G6'!AJ15+'G7'!AJ15</f>
        <v>0</v>
      </c>
      <c r="I10" s="8" t="str">
        <f t="shared" si="1"/>
        <v/>
      </c>
      <c r="J10" s="8" t="str">
        <f t="shared" si="2"/>
        <v/>
      </c>
      <c r="K10" s="9"/>
      <c r="L10" s="10" t="str">
        <f t="shared" si="3"/>
        <v>MMP 7</v>
      </c>
      <c r="M10" s="6"/>
      <c r="N10" s="6" t="str">
        <f>IF($O$32="G1", 'G1'!$D15,"")</f>
        <v/>
      </c>
      <c r="O10" s="6" t="str">
        <f>IF($O$32="G2", 'G2'!$D15,"")</f>
        <v/>
      </c>
      <c r="P10" s="6" t="str">
        <f>IF($O$32="G3", 'G3'!$D15,"")</f>
        <v/>
      </c>
      <c r="Q10" s="6" t="str">
        <f>IF($O$32="G4", 'G4'!$D15,"")</f>
        <v/>
      </c>
      <c r="R10" s="6" t="str">
        <f>IF($O$32="G5", 'G5'!$D15,"")</f>
        <v/>
      </c>
      <c r="S10" s="6" t="str">
        <f>IF($O$32="G6", 'G6'!$D15,"")</f>
        <v/>
      </c>
      <c r="T10" s="6" t="str">
        <f>IF($O$32="G7", 'G7'!$D15,"")</f>
        <v/>
      </c>
      <c r="U10" s="6">
        <f t="shared" si="4"/>
        <v>0</v>
      </c>
      <c r="V10" s="11">
        <f>'G1'!$D15+'G2'!$D15+'G3'!$D15+'G4'!$D15+'G5'!$D15+'G6'!$D15+'G7'!$D15</f>
        <v>0</v>
      </c>
    </row>
    <row r="11">
      <c r="B11" s="5"/>
      <c r="C11" s="5" t="s">
        <v>26</v>
      </c>
      <c r="D11" s="6">
        <f>'G1'!AF16+'G2'!AF16+'G3'!AF16+'G4'!AF16+'G5'!AF16+'G6'!AF16+'G7'!AF16</f>
        <v>0</v>
      </c>
      <c r="E11" s="6">
        <f>'G1'!AG16+'G2'!AG16+'G3'!AG16+'G4'!AG16+'G5'!AG16+'G6'!AG16+'G7'!AG16</f>
        <v>0</v>
      </c>
      <c r="F11" s="7">
        <f>'G1'!AH16+'G2'!AH16+'G3'!AH16+'G4'!AH16+'G5'!AH16+'G6'!AH16+'G7'!AH16</f>
        <v>0</v>
      </c>
      <c r="G11" s="5">
        <f>'G1'!AI16+'G2'!AI16+'G3'!AI16+'G4'!AI16+'G5'!AI16+'G6'!AI16+'G7'!AI16</f>
        <v>0</v>
      </c>
      <c r="H11" s="5">
        <f>'G1'!AJ16 +'G2'!AJ16+'G3'!AJ16+'G4'!AJ16+'G5'!AJ16+'G6'!AJ16+'G7'!AJ16</f>
        <v>0</v>
      </c>
      <c r="I11" s="8" t="str">
        <f t="shared" si="1"/>
        <v/>
      </c>
      <c r="J11" s="8" t="str">
        <f t="shared" si="2"/>
        <v/>
      </c>
      <c r="K11" s="9"/>
      <c r="L11" s="10" t="str">
        <f t="shared" si="3"/>
        <v>MMP 8</v>
      </c>
      <c r="M11" s="6"/>
      <c r="N11" s="6" t="str">
        <f>IF($O$32="G1", 'G1'!$D16,"")</f>
        <v/>
      </c>
      <c r="O11" s="6" t="str">
        <f>IF($O$32="G2", 'G2'!$D16,"")</f>
        <v/>
      </c>
      <c r="P11" s="6" t="str">
        <f>IF($O$32="G3", 'G3'!$D16,"")</f>
        <v/>
      </c>
      <c r="Q11" s="6" t="str">
        <f>IF($O$32="G4", 'G4'!$D16,"")</f>
        <v/>
      </c>
      <c r="R11" s="6" t="str">
        <f>IF($O$32="G5", 'G5'!$D16,"")</f>
        <v/>
      </c>
      <c r="S11" s="6" t="str">
        <f>IF($O$32="G6", 'G6'!$D16,"")</f>
        <v/>
      </c>
      <c r="T11" s="6" t="str">
        <f>IF($O$32="G7", 'G7'!$D16,"")</f>
        <v/>
      </c>
      <c r="U11" s="6">
        <f t="shared" si="4"/>
        <v>0</v>
      </c>
      <c r="V11" s="11">
        <f>'G1'!$D16+'G2'!$D16+'G3'!$D16+'G4'!$D16+'G5'!$D16+'G6'!$D16+'G7'!$D16</f>
        <v>0</v>
      </c>
    </row>
    <row r="12">
      <c r="B12" s="5"/>
      <c r="C12" s="5" t="s">
        <v>27</v>
      </c>
      <c r="D12" s="6">
        <f>'G1'!AF17+'G2'!AF17+'G3'!AF17+'G4'!AF17+'G5'!AF17+'G6'!AF17+'G7'!AF17</f>
        <v>0</v>
      </c>
      <c r="E12" s="6">
        <f>'G1'!AG17+'G2'!AG17+'G3'!AG17+'G4'!AG17+'G5'!AG17+'G6'!AG17+'G7'!AG17</f>
        <v>0</v>
      </c>
      <c r="F12" s="7">
        <f>'G1'!AH17+'G2'!AH17+'G3'!AH17+'G4'!AH17+'G5'!AH17+'G6'!AH17+'G7'!AH17</f>
        <v>0</v>
      </c>
      <c r="G12" s="5">
        <f>'G1'!AI17+'G2'!AI17+'G3'!AI17+'G4'!AI17+'G5'!AI17+'G6'!AI17+'G7'!AI17</f>
        <v>0</v>
      </c>
      <c r="H12" s="5">
        <f>'G1'!AJ17 +'G2'!AJ17+'G3'!AJ17+'G4'!AJ17+'G5'!AJ17+'G6'!AJ17+'G7'!AJ17</f>
        <v>0</v>
      </c>
      <c r="I12" s="8" t="str">
        <f t="shared" si="1"/>
        <v/>
      </c>
      <c r="J12" s="8" t="str">
        <f t="shared" si="2"/>
        <v/>
      </c>
      <c r="K12" s="9"/>
      <c r="L12" s="10" t="str">
        <f t="shared" si="3"/>
        <v>MMP 9</v>
      </c>
      <c r="M12" s="6"/>
      <c r="N12" s="6" t="str">
        <f>IF($O$32="G1", 'G1'!$D17,"")</f>
        <v/>
      </c>
      <c r="O12" s="6" t="str">
        <f>IF($O$32="G2", 'G2'!$D17,"")</f>
        <v/>
      </c>
      <c r="P12" s="6" t="str">
        <f>IF($O$32="G3", 'G3'!$D17,"")</f>
        <v/>
      </c>
      <c r="Q12" s="6" t="str">
        <f>IF($O$32="G4", 'G4'!$D17,"")</f>
        <v/>
      </c>
      <c r="R12" s="6" t="str">
        <f>IF($O$32="G5", 'G5'!$D17,"")</f>
        <v/>
      </c>
      <c r="S12" s="6" t="str">
        <f>IF($O$32="G6", 'G6'!$D17,"")</f>
        <v/>
      </c>
      <c r="T12" s="6" t="str">
        <f>IF($O$32="G7", 'G7'!$D17,"")</f>
        <v/>
      </c>
      <c r="U12" s="6">
        <f t="shared" si="4"/>
        <v>0</v>
      </c>
      <c r="V12" s="11">
        <f>'G1'!$D17+'G2'!$D17+'G3'!$D17+'G4'!$D17+'G5'!$D17+'G6'!$D17+'G7'!$D17</f>
        <v>0</v>
      </c>
    </row>
    <row r="13">
      <c r="B13" s="5"/>
      <c r="C13" s="5" t="s">
        <v>28</v>
      </c>
      <c r="D13" s="6">
        <f>'G1'!AF18+'G2'!AF18+'G3'!AF18+'G4'!AF18+'G5'!AF18+'G6'!AF18+'G7'!AF18</f>
        <v>0</v>
      </c>
      <c r="E13" s="6">
        <f>'G1'!AG18+'G2'!AG18+'G3'!AG18+'G4'!AG18+'G5'!AG18+'G6'!AG18+'G7'!AG18</f>
        <v>0</v>
      </c>
      <c r="F13" s="7">
        <f>'G1'!AH18+'G2'!AH18+'G3'!AH18+'G4'!AH18+'G5'!AH18+'G6'!AH18+'G7'!AH18</f>
        <v>0</v>
      </c>
      <c r="G13" s="5">
        <f>'G1'!AI18+'G2'!AI18+'G3'!AI18+'G4'!AI18+'G5'!AI18+'G6'!AI18+'G7'!AI18</f>
        <v>0</v>
      </c>
      <c r="H13" s="5">
        <f>'G1'!AJ18 +'G2'!AJ18+'G3'!AJ18+'G4'!AJ18+'G5'!AJ18+'G6'!AJ18+'G7'!AJ18</f>
        <v>0</v>
      </c>
      <c r="I13" s="8" t="str">
        <f t="shared" si="1"/>
        <v/>
      </c>
      <c r="J13" s="8" t="str">
        <f t="shared" si="2"/>
        <v/>
      </c>
      <c r="K13" s="9"/>
      <c r="L13" s="10" t="str">
        <f t="shared" si="3"/>
        <v>MMP 10</v>
      </c>
      <c r="M13" s="6"/>
      <c r="N13" s="6" t="str">
        <f>IF($O$32="G1", 'G1'!$D18,"")</f>
        <v/>
      </c>
      <c r="O13" s="6" t="str">
        <f>IF($O$32="G2", 'G2'!$D18,"")</f>
        <v/>
      </c>
      <c r="P13" s="6" t="str">
        <f>IF($O$32="G3", 'G3'!$D18,"")</f>
        <v/>
      </c>
      <c r="Q13" s="6" t="str">
        <f>IF($O$32="G4", 'G4'!$D18,"")</f>
        <v/>
      </c>
      <c r="R13" s="6" t="str">
        <f>IF($O$32="G5", 'G5'!$D18,"")</f>
        <v/>
      </c>
      <c r="S13" s="6" t="str">
        <f>IF($O$32="G6", 'G6'!$D18,"")</f>
        <v/>
      </c>
      <c r="T13" s="6" t="str">
        <f>IF($O$32="G7", 'G7'!$D18,"")</f>
        <v/>
      </c>
      <c r="U13" s="6">
        <f t="shared" si="4"/>
        <v>0</v>
      </c>
      <c r="V13" s="11">
        <f>'G1'!$D18+'G2'!$D18+'G3'!$D18+'G4'!$D18+'G5'!$D18+'G6'!$D18+'G7'!$D18</f>
        <v>0</v>
      </c>
    </row>
    <row r="14">
      <c r="B14" s="5"/>
      <c r="C14" s="5" t="s">
        <v>29</v>
      </c>
      <c r="D14" s="6">
        <f>'G1'!AF19+'G2'!AF19+'G3'!AF19+'G4'!AF19+'G5'!AF19+'G6'!AF19+'G7'!AF19</f>
        <v>0</v>
      </c>
      <c r="E14" s="6">
        <f>'G1'!AG19+'G2'!AG19+'G3'!AG19+'G4'!AG19+'G5'!AG19+'G6'!AG19+'G7'!AG19</f>
        <v>0</v>
      </c>
      <c r="F14" s="7">
        <f>'G1'!AH19+'G2'!AH19+'G3'!AH19+'G4'!AH19+'G5'!AH19+'G6'!AH19+'G7'!AH19</f>
        <v>0</v>
      </c>
      <c r="G14" s="5">
        <f>'G1'!AI19+'G2'!AI19+'G3'!AI19+'G4'!AI19+'G5'!AI19+'G6'!AI19+'G7'!AI19</f>
        <v>0</v>
      </c>
      <c r="H14" s="5">
        <f>'G1'!AJ19 +'G2'!AJ19+'G3'!AJ19+'G4'!AJ19+'G5'!AJ19+'G6'!AJ19+'G7'!AJ19</f>
        <v>0</v>
      </c>
      <c r="I14" s="8" t="str">
        <f t="shared" si="1"/>
        <v/>
      </c>
      <c r="J14" s="8" t="str">
        <f t="shared" si="2"/>
        <v/>
      </c>
      <c r="K14" s="9"/>
      <c r="L14" s="10" t="str">
        <f t="shared" si="3"/>
        <v>MMP 11</v>
      </c>
      <c r="M14" s="6"/>
      <c r="N14" s="6" t="str">
        <f>IF($O$32="G1", 'G1'!$D19,"")</f>
        <v/>
      </c>
      <c r="O14" s="6" t="str">
        <f>IF($O$32="G2", 'G2'!$D19,"")</f>
        <v/>
      </c>
      <c r="P14" s="6" t="str">
        <f>IF($O$32="G3", 'G3'!$D19,"")</f>
        <v/>
      </c>
      <c r="Q14" s="6" t="str">
        <f>IF($O$32="G4", 'G4'!$D19,"")</f>
        <v/>
      </c>
      <c r="R14" s="6" t="str">
        <f>IF($O$32="G5", 'G5'!$D19,"")</f>
        <v/>
      </c>
      <c r="S14" s="6" t="str">
        <f>IF($O$32="G6", 'G6'!$D19,"")</f>
        <v/>
      </c>
      <c r="T14" s="6" t="str">
        <f>IF($O$32="G7", 'G7'!$D19,"")</f>
        <v/>
      </c>
      <c r="U14" s="6">
        <f t="shared" si="4"/>
        <v>0</v>
      </c>
      <c r="V14" s="11">
        <f>'G1'!$D19+'G2'!$D19+'G3'!$D19+'G4'!$D19+'G5'!$D19+'G6'!$D19+'G7'!$D19</f>
        <v>0</v>
      </c>
    </row>
    <row r="15">
      <c r="B15" s="5"/>
      <c r="C15" s="5" t="s">
        <v>30</v>
      </c>
      <c r="D15" s="6">
        <f>'G1'!AF20+'G2'!AF20+'G3'!AF20+'G4'!AF20+'G5'!AF20+'G6'!AF20+'G7'!AF20</f>
        <v>0</v>
      </c>
      <c r="E15" s="6">
        <f>'G1'!AG20+'G2'!AG20+'G3'!AG20+'G4'!AG20+'G5'!AG20+'G6'!AG20+'G7'!AG20</f>
        <v>0</v>
      </c>
      <c r="F15" s="7">
        <f>'G1'!AH20+'G2'!AH20+'G3'!AH20+'G4'!AH20+'G5'!AH20+'G6'!AH20+'G7'!AH20</f>
        <v>0</v>
      </c>
      <c r="G15" s="5">
        <f>'G1'!AI20+'G2'!AI20+'G3'!AI20+'G4'!AI20+'G5'!AI20+'G6'!AI20+'G7'!AI20</f>
        <v>0</v>
      </c>
      <c r="H15" s="5">
        <f>'G1'!AJ20 +'G2'!AJ20+'G3'!AJ20+'G4'!AJ20+'G5'!AJ20+'G6'!AJ20+'G7'!AJ20</f>
        <v>0</v>
      </c>
      <c r="I15" s="8" t="str">
        <f t="shared" si="1"/>
        <v/>
      </c>
      <c r="J15" s="8" t="str">
        <f t="shared" si="2"/>
        <v/>
      </c>
      <c r="K15" s="9"/>
      <c r="L15" s="10" t="str">
        <f t="shared" si="3"/>
        <v>MMP 12</v>
      </c>
      <c r="M15" s="6"/>
      <c r="N15" s="6" t="str">
        <f>IF($O$32="G1", 'G1'!$D20,"")</f>
        <v/>
      </c>
      <c r="O15" s="6" t="str">
        <f>IF($O$32="G2", 'G2'!$D20,"")</f>
        <v/>
      </c>
      <c r="P15" s="6" t="str">
        <f>IF($O$32="G3", 'G3'!$D20,"")</f>
        <v/>
      </c>
      <c r="Q15" s="6" t="str">
        <f>IF($O$32="G4", 'G4'!$D20,"")</f>
        <v/>
      </c>
      <c r="R15" s="6" t="str">
        <f>IF($O$32="G5", 'G5'!$D20,"")</f>
        <v/>
      </c>
      <c r="S15" s="6" t="str">
        <f>IF($O$32="G6", 'G6'!$D20,"")</f>
        <v/>
      </c>
      <c r="T15" s="6" t="str">
        <f>IF($O$32="G7", 'G7'!$D20,"")</f>
        <v/>
      </c>
      <c r="U15" s="6">
        <f t="shared" si="4"/>
        <v>0</v>
      </c>
      <c r="V15" s="11">
        <f>'G1'!$D20+'G2'!$D20+'G3'!$D20+'G4'!$D20+'G5'!$D20+'G6'!$D20+'G7'!$D20</f>
        <v>0</v>
      </c>
    </row>
    <row r="16">
      <c r="B16" s="5"/>
      <c r="C16" s="5" t="s">
        <v>31</v>
      </c>
      <c r="D16" s="6">
        <f>'G1'!AF21+'G2'!AF21+'G3'!AF21+'G4'!AF21+'G5'!AF21+'G6'!AF21+'G7'!AF21</f>
        <v>0</v>
      </c>
      <c r="E16" s="6">
        <f>'G1'!AG21+'G2'!AG21+'G3'!AG21+'G4'!AG21+'G5'!AG21+'G6'!AG21+'G7'!AG21</f>
        <v>0</v>
      </c>
      <c r="F16" s="7">
        <f>'G1'!AH21+'G2'!AH21+'G3'!AH21+'G4'!AH21+'G5'!AH21+'G6'!AH21+'G7'!AH21</f>
        <v>0</v>
      </c>
      <c r="G16" s="5">
        <f>'G1'!AI21+'G2'!AI21+'G3'!AI21+'G4'!AI21+'G5'!AI21+'G6'!AI21+'G7'!AI21</f>
        <v>0</v>
      </c>
      <c r="H16" s="5">
        <f>'G1'!AJ21 +'G2'!AJ21+'G3'!AJ21+'G4'!AJ21+'G5'!AJ21+'G6'!AJ21+'G7'!AJ21</f>
        <v>0</v>
      </c>
      <c r="I16" s="8" t="str">
        <f t="shared" si="1"/>
        <v/>
      </c>
      <c r="J16" s="8" t="str">
        <f t="shared" si="2"/>
        <v/>
      </c>
      <c r="K16" s="9"/>
      <c r="L16" s="10" t="str">
        <f t="shared" si="3"/>
        <v>MMP 13</v>
      </c>
      <c r="M16" s="6"/>
      <c r="N16" s="6" t="str">
        <f>IF($O$32="G1", 'G1'!$D21,"")</f>
        <v/>
      </c>
      <c r="O16" s="6" t="str">
        <f>IF($O$32="G2", 'G2'!$D21,"")</f>
        <v/>
      </c>
      <c r="P16" s="6" t="str">
        <f>IF($O$32="G3", 'G3'!$D21,"")</f>
        <v/>
      </c>
      <c r="Q16" s="6" t="str">
        <f>IF($O$32="G4", 'G4'!$D21,"")</f>
        <v/>
      </c>
      <c r="R16" s="6" t="str">
        <f>IF($O$32="G5", 'G5'!$D21,"")</f>
        <v/>
      </c>
      <c r="S16" s="6" t="str">
        <f>IF($O$32="G6", 'G6'!$D21,"")</f>
        <v/>
      </c>
      <c r="T16" s="6" t="str">
        <f>IF($O$32="G7", 'G7'!$D21,"")</f>
        <v/>
      </c>
      <c r="U16" s="6">
        <f t="shared" si="4"/>
        <v>0</v>
      </c>
      <c r="V16" s="11">
        <f>'G1'!$D21+'G2'!$D21+'G3'!$D21+'G4'!$D21+'G5'!$D21+'G6'!$D21+'G7'!$D21</f>
        <v>0</v>
      </c>
    </row>
    <row r="17">
      <c r="B17" s="1" t="s">
        <v>32</v>
      </c>
      <c r="C17" s="1"/>
      <c r="D17" s="6"/>
      <c r="E17" s="6"/>
      <c r="F17" s="7"/>
      <c r="G17" s="1"/>
      <c r="H17" s="5"/>
      <c r="I17" s="12"/>
      <c r="J17" s="12"/>
      <c r="K17" s="9"/>
      <c r="L17" s="13" t="s">
        <v>32</v>
      </c>
      <c r="M17" s="11"/>
      <c r="N17" s="6"/>
      <c r="O17" s="6"/>
      <c r="P17" s="6"/>
      <c r="Q17" s="6"/>
      <c r="R17" s="6"/>
      <c r="S17" s="6"/>
      <c r="T17" s="6"/>
      <c r="U17" s="11"/>
      <c r="V17" s="11"/>
    </row>
    <row r="18">
      <c r="B18" s="5"/>
      <c r="C18" s="5" t="s">
        <v>33</v>
      </c>
      <c r="D18" s="6">
        <f>'G1'!AF25+'G2'!AF25+'G3'!AF25+'G4'!AF25+'G5'!AF25+'G6'!AF25+'G7'!AF25</f>
        <v>0</v>
      </c>
      <c r="E18" s="6">
        <f>'G1'!AG25+'G2'!AG25+'G3'!AG25+'G4'!AG25+'G5'!AG25+'G6'!AG25+'G7'!AG25</f>
        <v>0</v>
      </c>
      <c r="F18" s="6">
        <f>'G1'!AH25+'G2'!AH25+'G3'!AH25+'G4'!AH25+'G5'!AH25+'G6'!AH25+'G7'!AH25</f>
        <v>0</v>
      </c>
      <c r="G18" s="6">
        <f>'G1'!AI25+'G2'!AI25+'G3'!AI25+'G4'!AI25+'G5'!AI25+'G6'!AI25+'G7'!AI25</f>
        <v>0</v>
      </c>
      <c r="H18" s="6">
        <f>'G1'!AJ25+'G2'!AJ25+'G3'!AJ25+'G4'!AJ25+'G5'!AJ25+'G6'!AJ25+'G7'!AJ25</f>
        <v>0</v>
      </c>
      <c r="I18" s="14" t="str">
        <f t="shared" ref="I18:I30" si="5">IF(E18=0,, 1-ABS(G18)/E18)</f>
        <v/>
      </c>
      <c r="J18" s="15" t="str">
        <f t="shared" ref="J18:J30" si="6">IF(F18=0,, ABS(H18)/F18)</f>
        <v/>
      </c>
      <c r="K18" s="9"/>
      <c r="L18" s="10" t="str">
        <f t="shared" ref="L18:L30" si="7">C18</f>
        <v>FMP 1</v>
      </c>
      <c r="M18" s="6"/>
      <c r="N18" s="6" t="str">
        <f>IF($O$32 ="G1", 'G1'!$D25,"")</f>
        <v/>
      </c>
      <c r="O18" s="6" t="str">
        <f>IF($O$32 ="G2", 'G2'!$D25,"")</f>
        <v/>
      </c>
      <c r="P18" s="6" t="str">
        <f>IF($O$32 ="G3", 'G3'!$D25,"")</f>
        <v/>
      </c>
      <c r="Q18" s="6" t="str">
        <f>IF($O$32 ="G4", 'G4'!$D25,"")</f>
        <v/>
      </c>
      <c r="R18" s="6" t="str">
        <f>IF($O$32 ="G5", 'G5'!$D25,"")</f>
        <v/>
      </c>
      <c r="S18" s="6" t="str">
        <f>IF($O$32 ="G6", 'G6'!$D25,"")</f>
        <v/>
      </c>
      <c r="T18" s="6" t="str">
        <f>IF($O$32 ="G7", 'G7'!$D25,"")</f>
        <v/>
      </c>
      <c r="U18" s="6">
        <f t="shared" ref="U18:U30" si="8">SUM(N18:T18)</f>
        <v>0</v>
      </c>
      <c r="V18" s="11">
        <f>'G1'!$D25+'G2'!$D25+'G3'!$D25+'G4'!$D25+'G5'!$D25+'G6'!$D25+'G7'!$D25</f>
        <v>0</v>
      </c>
    </row>
    <row r="19">
      <c r="B19" s="5"/>
      <c r="C19" s="5" t="s">
        <v>34</v>
      </c>
      <c r="D19" s="6">
        <f>'G1'!AF26+'G2'!AF26+'G3'!AF26+'G4'!AF26+'G5'!AF26+'G6'!AF26+'G7'!AF26</f>
        <v>0</v>
      </c>
      <c r="E19" s="6">
        <f>'G1'!AG26+'G2'!AG26+'G3'!AG26+'G4'!AG26+'G5'!AG26+'G6'!AG26+'G7'!AG26</f>
        <v>0</v>
      </c>
      <c r="F19" s="6">
        <f>'G1'!AH26+'G2'!AH26+'G3'!AH26+'G4'!AH26+'G5'!AH26+'G6'!AH26+'G7'!AH26</f>
        <v>0</v>
      </c>
      <c r="G19" s="6">
        <f>'G1'!AI26+'G2'!AI26+'G3'!AI26+'G4'!AI26+'G5'!AI26+'G6'!AI26+'G7'!AI26</f>
        <v>0</v>
      </c>
      <c r="H19" s="6">
        <f>'G1'!AJ26+'G2'!AJ26+'G3'!AJ26+'G4'!AJ26+'G5'!AJ26+'G6'!AJ26+'G7'!AJ26</f>
        <v>0</v>
      </c>
      <c r="I19" s="14" t="str">
        <f t="shared" si="5"/>
        <v/>
      </c>
      <c r="J19" s="15" t="str">
        <f t="shared" si="6"/>
        <v/>
      </c>
      <c r="K19" s="9"/>
      <c r="L19" s="10" t="str">
        <f t="shared" si="7"/>
        <v>FMP 2</v>
      </c>
      <c r="M19" s="6"/>
      <c r="N19" s="6" t="str">
        <f>IF($O$32 ="G1", 'G1'!$D26,"")</f>
        <v/>
      </c>
      <c r="O19" s="6" t="str">
        <f>IF($O$32 ="G2", 'G2'!$D26,"")</f>
        <v/>
      </c>
      <c r="P19" s="6" t="str">
        <f>IF($O$32 ="G3", 'G3'!$D26,"")</f>
        <v/>
      </c>
      <c r="Q19" s="6" t="str">
        <f>IF($O$32 ="G4", 'G4'!$D26,"")</f>
        <v/>
      </c>
      <c r="R19" s="6" t="str">
        <f>IF($O$32 ="G5", 'G5'!$D26,"")</f>
        <v/>
      </c>
      <c r="S19" s="6" t="str">
        <f>IF($O$32 ="G6", 'G6'!$D26,"")</f>
        <v/>
      </c>
      <c r="T19" s="6" t="str">
        <f>IF($O$32 ="G7", 'G7'!$D26,"")</f>
        <v/>
      </c>
      <c r="U19" s="6">
        <f t="shared" si="8"/>
        <v>0</v>
      </c>
      <c r="V19" s="11">
        <f>'G1'!$D26+'G2'!$D26+'G3'!$D26+'G4'!$D26+'G5'!$D26+'G6'!$D26+'G7'!$D26</f>
        <v>0</v>
      </c>
    </row>
    <row r="20">
      <c r="B20" s="5"/>
      <c r="C20" s="5" t="s">
        <v>35</v>
      </c>
      <c r="D20" s="6">
        <f>'G1'!AF27+'G2'!AF27+'G3'!AF27+'G4'!AF27+'G5'!AF27+'G6'!AF27+'G7'!AF27</f>
        <v>0</v>
      </c>
      <c r="E20" s="6">
        <f>'G1'!AG27+'G2'!AG27+'G3'!AG27+'G4'!AG27+'G5'!AG27+'G6'!AG27+'G7'!AG27</f>
        <v>0</v>
      </c>
      <c r="F20" s="6">
        <f>'G1'!AH27+'G2'!AH27+'G3'!AH27+'G4'!AH27+'G5'!AH27+'G6'!AH27+'G7'!AH27</f>
        <v>0</v>
      </c>
      <c r="G20" s="6">
        <f>'G1'!AI27+'G2'!AI27+'G3'!AI27+'G4'!AI27+'G5'!AI27+'G6'!AI27+'G7'!AI27</f>
        <v>0</v>
      </c>
      <c r="H20" s="6">
        <f>'G1'!AJ27+'G2'!AJ27+'G3'!AJ27+'G4'!AJ27+'G5'!AJ27+'G6'!AJ27+'G7'!AJ27</f>
        <v>0</v>
      </c>
      <c r="I20" s="14" t="str">
        <f t="shared" si="5"/>
        <v/>
      </c>
      <c r="J20" s="15" t="str">
        <f t="shared" si="6"/>
        <v/>
      </c>
      <c r="K20" s="9"/>
      <c r="L20" s="10" t="str">
        <f t="shared" si="7"/>
        <v>FMP 3</v>
      </c>
      <c r="M20" s="6"/>
      <c r="N20" s="6" t="str">
        <f>IF($O$32 ="G1", 'G1'!$D27,"")</f>
        <v/>
      </c>
      <c r="O20" s="6" t="str">
        <f>IF($O$32 ="G2", 'G2'!$D27,"")</f>
        <v/>
      </c>
      <c r="P20" s="6" t="str">
        <f>IF($O$32 ="G3", 'G3'!$D27,"")</f>
        <v/>
      </c>
      <c r="Q20" s="6" t="str">
        <f>IF($O$32 ="G4", 'G4'!$D27,"")</f>
        <v/>
      </c>
      <c r="R20" s="6" t="str">
        <f>IF($O$32 ="G5", 'G5'!$D27,"")</f>
        <v/>
      </c>
      <c r="S20" s="6" t="str">
        <f>IF($O$32 ="G6", 'G6'!$D27,"")</f>
        <v/>
      </c>
      <c r="T20" s="6" t="str">
        <f>IF($O$32 ="G7", 'G7'!$D27,"")</f>
        <v/>
      </c>
      <c r="U20" s="6">
        <f t="shared" si="8"/>
        <v>0</v>
      </c>
      <c r="V20" s="11">
        <f>'G1'!$D27+'G2'!$D27+'G3'!$D27+'G4'!$D27+'G5'!$D27+'G6'!$D27+'G7'!$D27</f>
        <v>0</v>
      </c>
    </row>
    <row r="21">
      <c r="B21" s="5"/>
      <c r="C21" s="5" t="s">
        <v>36</v>
      </c>
      <c r="D21" s="6">
        <f>'G1'!AF28+'G2'!AF28+'G3'!AF28+'G4'!AF28+'G5'!AF28+'G6'!AF28+'G7'!AF28</f>
        <v>0</v>
      </c>
      <c r="E21" s="6">
        <f>'G1'!AG28+'G2'!AG28+'G3'!AG28+'G4'!AG28+'G5'!AG28+'G6'!AG28+'G7'!AG28</f>
        <v>0</v>
      </c>
      <c r="F21" s="6">
        <f>'G1'!AH28+'G2'!AH28+'G3'!AH28+'G4'!AH28+'G5'!AH28+'G6'!AH28+'G7'!AH28</f>
        <v>0</v>
      </c>
      <c r="G21" s="6">
        <f>'G1'!AI28+'G2'!AI28+'G3'!AI28+'G4'!AI28+'G5'!AI28+'G6'!AI28+'G7'!AI28</f>
        <v>0</v>
      </c>
      <c r="H21" s="6">
        <f>'G1'!AJ28+'G2'!AJ28+'G3'!AJ28+'G4'!AJ28+'G5'!AJ28+'G6'!AJ28+'G7'!AJ28</f>
        <v>0</v>
      </c>
      <c r="I21" s="14" t="str">
        <f t="shared" si="5"/>
        <v/>
      </c>
      <c r="J21" s="15" t="str">
        <f t="shared" si="6"/>
        <v/>
      </c>
      <c r="K21" s="9"/>
      <c r="L21" s="10" t="str">
        <f t="shared" si="7"/>
        <v>FMP 4</v>
      </c>
      <c r="M21" s="6"/>
      <c r="N21" s="6" t="str">
        <f>IF($O$32 ="G1", 'G1'!$D28,"")</f>
        <v/>
      </c>
      <c r="O21" s="6" t="str">
        <f>IF($O$32 ="G2", 'G2'!$D28,"")</f>
        <v/>
      </c>
      <c r="P21" s="6" t="str">
        <f>IF($O$32 ="G3", 'G3'!$D28,"")</f>
        <v/>
      </c>
      <c r="Q21" s="6" t="str">
        <f>IF($O$32 ="G4", 'G4'!$D28,"")</f>
        <v/>
      </c>
      <c r="R21" s="6" t="str">
        <f>IF($O$32 ="G5", 'G5'!$D28,"")</f>
        <v/>
      </c>
      <c r="S21" s="6" t="str">
        <f>IF($O$32 ="G6", 'G6'!$D28,"")</f>
        <v/>
      </c>
      <c r="T21" s="6" t="str">
        <f>IF($O$32 ="G7", 'G7'!$D28,"")</f>
        <v/>
      </c>
      <c r="U21" s="6">
        <f t="shared" si="8"/>
        <v>0</v>
      </c>
      <c r="V21" s="11">
        <f>'G1'!$D28+'G2'!$D28+'G3'!$D28+'G4'!$D28+'G5'!$D28+'G6'!$D28+'G7'!$D28</f>
        <v>0</v>
      </c>
    </row>
    <row r="22">
      <c r="B22" s="5"/>
      <c r="C22" s="5" t="s">
        <v>37</v>
      </c>
      <c r="D22" s="6">
        <f>'G1'!AF29+'G2'!AF29+'G3'!AF29+'G4'!AF29+'G5'!AF29+'G6'!AF29+'G7'!AF29</f>
        <v>0</v>
      </c>
      <c r="E22" s="6">
        <f>'G1'!AG29+'G2'!AG29+'G3'!AG29+'G4'!AG29+'G5'!AG29+'G6'!AG29+'G7'!AG29</f>
        <v>0</v>
      </c>
      <c r="F22" s="6">
        <f>'G1'!AH29+'G2'!AH29+'G3'!AH29+'G4'!AH29+'G5'!AH29+'G6'!AH29+'G7'!AH29</f>
        <v>0</v>
      </c>
      <c r="G22" s="6">
        <f>'G1'!AI29+'G2'!AI29+'G3'!AI29+'G4'!AI29+'G5'!AI29+'G6'!AI29+'G7'!AI29</f>
        <v>0</v>
      </c>
      <c r="H22" s="6">
        <f>'G1'!AJ29+'G2'!AJ29+'G3'!AJ29+'G4'!AJ29+'G5'!AJ29+'G6'!AJ29+'G7'!AJ29</f>
        <v>0</v>
      </c>
      <c r="I22" s="14" t="str">
        <f t="shared" si="5"/>
        <v/>
      </c>
      <c r="J22" s="15" t="str">
        <f t="shared" si="6"/>
        <v/>
      </c>
      <c r="K22" s="9"/>
      <c r="L22" s="10" t="str">
        <f t="shared" si="7"/>
        <v>FMP 5</v>
      </c>
      <c r="M22" s="6"/>
      <c r="N22" s="6" t="str">
        <f>IF($O$32 ="G1", 'G1'!$D29,"")</f>
        <v/>
      </c>
      <c r="O22" s="6" t="str">
        <f>IF($O$32 ="G2", 'G2'!$D29,"")</f>
        <v/>
      </c>
      <c r="P22" s="6" t="str">
        <f>IF($O$32 ="G3", 'G3'!$D29,"")</f>
        <v/>
      </c>
      <c r="Q22" s="6" t="str">
        <f>IF($O$32 ="G4", 'G4'!$D29,"")</f>
        <v/>
      </c>
      <c r="R22" s="6" t="str">
        <f>IF($O$32 ="G5", 'G5'!$D29,"")</f>
        <v/>
      </c>
      <c r="S22" s="6" t="str">
        <f>IF($O$32 ="G6", 'G6'!$D29,"")</f>
        <v/>
      </c>
      <c r="T22" s="6" t="str">
        <f>IF($O$32 ="G7", 'G7'!$D29,"")</f>
        <v/>
      </c>
      <c r="U22" s="6">
        <f t="shared" si="8"/>
        <v>0</v>
      </c>
      <c r="V22" s="11">
        <f>'G1'!$D29+'G2'!$D29+'G3'!$D29+'G4'!$D29+'G5'!$D29+'G6'!$D29+'G7'!$D29</f>
        <v>0</v>
      </c>
    </row>
    <row r="23">
      <c r="B23" s="5"/>
      <c r="C23" s="5" t="s">
        <v>38</v>
      </c>
      <c r="D23" s="6">
        <f>'G1'!AF30+'G2'!AF30+'G3'!AF30+'G4'!AF30+'G5'!AF30+'G6'!AF30+'G7'!AF30</f>
        <v>0</v>
      </c>
      <c r="E23" s="6">
        <f>'G1'!AG30+'G2'!AG30+'G3'!AG30+'G4'!AG30+'G5'!AG30+'G6'!AG30+'G7'!AG30</f>
        <v>0</v>
      </c>
      <c r="F23" s="6">
        <f>'G1'!AH30+'G2'!AH30+'G3'!AH30+'G4'!AH30+'G5'!AH30+'G6'!AH30+'G7'!AH30</f>
        <v>0</v>
      </c>
      <c r="G23" s="6">
        <f>'G1'!AI30+'G2'!AI30+'G3'!AI30+'G4'!AI30+'G5'!AI30+'G6'!AI30+'G7'!AI30</f>
        <v>0</v>
      </c>
      <c r="H23" s="6">
        <f>'G1'!AJ30+'G2'!AJ30+'G3'!AJ30+'G4'!AJ30+'G5'!AJ30+'G6'!AJ30+'G7'!AJ30</f>
        <v>0</v>
      </c>
      <c r="I23" s="14" t="str">
        <f t="shared" si="5"/>
        <v/>
      </c>
      <c r="J23" s="15" t="str">
        <f t="shared" si="6"/>
        <v/>
      </c>
      <c r="K23" s="9"/>
      <c r="L23" s="10" t="str">
        <f t="shared" si="7"/>
        <v>FMP 6</v>
      </c>
      <c r="M23" s="6"/>
      <c r="N23" s="6" t="str">
        <f>IF($O$32 ="G1", 'G1'!$D30,"")</f>
        <v/>
      </c>
      <c r="O23" s="6" t="str">
        <f>IF($O$32 ="G2", 'G2'!$D30,"")</f>
        <v/>
      </c>
      <c r="P23" s="6" t="str">
        <f>IF($O$32 ="G3", 'G3'!$D30,"")</f>
        <v/>
      </c>
      <c r="Q23" s="6" t="str">
        <f>IF($O$32 ="G4", 'G4'!$D30,"")</f>
        <v/>
      </c>
      <c r="R23" s="6" t="str">
        <f>IF($O$32 ="G5", 'G5'!$D30,"")</f>
        <v/>
      </c>
      <c r="S23" s="6" t="str">
        <f>IF($O$32 ="G6", 'G6'!$D30,"")</f>
        <v/>
      </c>
      <c r="T23" s="6" t="str">
        <f>IF($O$32 ="G7", 'G7'!$D30,"")</f>
        <v/>
      </c>
      <c r="U23" s="6">
        <f t="shared" si="8"/>
        <v>0</v>
      </c>
      <c r="V23" s="11">
        <f>'G1'!$D30+'G2'!$D30+'G3'!$D30+'G4'!$D30+'G5'!$D30+'G6'!$D30+'G7'!$D30</f>
        <v>0</v>
      </c>
    </row>
    <row r="24">
      <c r="B24" s="5"/>
      <c r="C24" s="5" t="s">
        <v>39</v>
      </c>
      <c r="D24" s="6">
        <f>'G1'!AF31+'G2'!AF31+'G3'!AF31+'G4'!AF31+'G5'!AF31+'G6'!AF31+'G7'!AF31</f>
        <v>0</v>
      </c>
      <c r="E24" s="6">
        <f>'G1'!AG31+'G2'!AG31+'G3'!AG31+'G4'!AG31+'G5'!AG31+'G6'!AG31+'G7'!AG31</f>
        <v>0</v>
      </c>
      <c r="F24" s="6">
        <f>'G1'!AH31+'G2'!AH31+'G3'!AH31+'G4'!AH31+'G5'!AH31+'G6'!AH31+'G7'!AH31</f>
        <v>0</v>
      </c>
      <c r="G24" s="6">
        <f>'G1'!AI31+'G2'!AI31+'G3'!AI31+'G4'!AI31+'G5'!AI31+'G6'!AI31+'G7'!AI31</f>
        <v>0</v>
      </c>
      <c r="H24" s="6">
        <f>'G1'!AJ31+'G2'!AJ31+'G3'!AJ31+'G4'!AJ31+'G5'!AJ31+'G6'!AJ31+'G7'!AJ31</f>
        <v>0</v>
      </c>
      <c r="I24" s="14" t="str">
        <f t="shared" si="5"/>
        <v/>
      </c>
      <c r="J24" s="15" t="str">
        <f t="shared" si="6"/>
        <v/>
      </c>
      <c r="K24" s="9"/>
      <c r="L24" s="10" t="str">
        <f t="shared" si="7"/>
        <v>FMP 7</v>
      </c>
      <c r="M24" s="6"/>
      <c r="N24" s="6" t="str">
        <f>IF($O$32 ="G1", 'G1'!$D31,"")</f>
        <v/>
      </c>
      <c r="O24" s="6" t="str">
        <f>IF($O$32 ="G2", 'G2'!$D31,"")</f>
        <v/>
      </c>
      <c r="P24" s="6" t="str">
        <f>IF($O$32 ="G3", 'G3'!$D31,"")</f>
        <v/>
      </c>
      <c r="Q24" s="6" t="str">
        <f>IF($O$32 ="G4", 'G4'!$D31,"")</f>
        <v/>
      </c>
      <c r="R24" s="6" t="str">
        <f>IF($O$32 ="G5", 'G5'!$D31,"")</f>
        <v/>
      </c>
      <c r="S24" s="6" t="str">
        <f>IF($O$32 ="G6", 'G6'!$D31,"")</f>
        <v/>
      </c>
      <c r="T24" s="6" t="str">
        <f>IF($O$32 ="G7", 'G7'!$D31,"")</f>
        <v/>
      </c>
      <c r="U24" s="6">
        <f t="shared" si="8"/>
        <v>0</v>
      </c>
      <c r="V24" s="11">
        <f>'G1'!$D31+'G2'!$D31+'G3'!$D31+'G4'!$D31+'G5'!$D31+'G6'!$D31+'G7'!$D31</f>
        <v>0</v>
      </c>
    </row>
    <row r="25">
      <c r="B25" s="5"/>
      <c r="C25" s="5" t="s">
        <v>40</v>
      </c>
      <c r="D25" s="6">
        <f>'G1'!AF32+'G2'!AF32+'G3'!AF32+'G4'!AF32+'G5'!AF32+'G6'!AF32+'G7'!AF32</f>
        <v>0</v>
      </c>
      <c r="E25" s="6">
        <f>'G1'!AG32+'G2'!AG32+'G3'!AG32+'G4'!AG32+'G5'!AG32+'G6'!AG32+'G7'!AG32</f>
        <v>0</v>
      </c>
      <c r="F25" s="6">
        <f>'G1'!AH32+'G2'!AH32+'G3'!AH32+'G4'!AH32+'G5'!AH32+'G6'!AH32+'G7'!AH32</f>
        <v>0</v>
      </c>
      <c r="G25" s="6">
        <f>'G1'!AI32+'G2'!AI32+'G3'!AI32+'G4'!AI32+'G5'!AI32+'G6'!AI32+'G7'!AI32</f>
        <v>0</v>
      </c>
      <c r="H25" s="6">
        <f>'G1'!AJ32+'G2'!AJ32+'G3'!AJ32+'G4'!AJ32+'G5'!AJ32+'G6'!AJ32+'G7'!AJ32</f>
        <v>0</v>
      </c>
      <c r="I25" s="14" t="str">
        <f t="shared" si="5"/>
        <v/>
      </c>
      <c r="J25" s="15" t="str">
        <f t="shared" si="6"/>
        <v/>
      </c>
      <c r="K25" s="9"/>
      <c r="L25" s="10" t="str">
        <f t="shared" si="7"/>
        <v>FMP 8</v>
      </c>
      <c r="M25" s="6"/>
      <c r="N25" s="6" t="str">
        <f>IF($O$32 ="G1", 'G1'!$D32,"")</f>
        <v/>
      </c>
      <c r="O25" s="6" t="str">
        <f>IF($O$32 ="G2", 'G2'!$D32,"")</f>
        <v/>
      </c>
      <c r="P25" s="6" t="str">
        <f>IF($O$32 ="G3", 'G3'!$D32,"")</f>
        <v/>
      </c>
      <c r="Q25" s="6" t="str">
        <f>IF($O$32 ="G4", 'G4'!$D32,"")</f>
        <v/>
      </c>
      <c r="R25" s="6" t="str">
        <f>IF($O$32 ="G5", 'G5'!$D32,"")</f>
        <v/>
      </c>
      <c r="S25" s="6" t="str">
        <f>IF($O$32 ="G6", 'G6'!$D32,"")</f>
        <v/>
      </c>
      <c r="T25" s="6" t="str">
        <f>IF($O$32 ="G7", 'G7'!$D32,"")</f>
        <v/>
      </c>
      <c r="U25" s="6">
        <f t="shared" si="8"/>
        <v>0</v>
      </c>
      <c r="V25" s="11">
        <f>'G1'!$D32+'G2'!$D32+'G3'!$D32+'G4'!$D32+'G5'!$D32+'G6'!$D32+'G7'!$D32</f>
        <v>0</v>
      </c>
    </row>
    <row r="26">
      <c r="B26" s="5"/>
      <c r="C26" s="5" t="s">
        <v>41</v>
      </c>
      <c r="D26" s="6">
        <f>'G1'!AF33+'G2'!AF33+'G3'!AF33+'G4'!AF33+'G5'!AF33+'G6'!AF33+'G7'!AF33</f>
        <v>0</v>
      </c>
      <c r="E26" s="6">
        <f>'G1'!AG33+'G2'!AG33+'G3'!AG33+'G4'!AG33+'G5'!AG33+'G6'!AG33+'G7'!AG33</f>
        <v>0</v>
      </c>
      <c r="F26" s="6">
        <f>'G1'!AH33+'G2'!AH33+'G3'!AH33+'G4'!AH33+'G5'!AH33+'G6'!AH33+'G7'!AH33</f>
        <v>0</v>
      </c>
      <c r="G26" s="6">
        <f>'G1'!AI33+'G2'!AI33+'G3'!AI33+'G4'!AI33+'G5'!AI33+'G6'!AI33+'G7'!AI33</f>
        <v>0</v>
      </c>
      <c r="H26" s="6">
        <f>'G1'!AJ33+'G2'!AJ33+'G3'!AJ33+'G4'!AJ33+'G5'!AJ33+'G6'!AJ33+'G7'!AJ33</f>
        <v>0</v>
      </c>
      <c r="I26" s="14" t="str">
        <f t="shared" si="5"/>
        <v/>
      </c>
      <c r="J26" s="15" t="str">
        <f t="shared" si="6"/>
        <v/>
      </c>
      <c r="K26" s="9"/>
      <c r="L26" s="10" t="str">
        <f t="shared" si="7"/>
        <v>FMP 9</v>
      </c>
      <c r="M26" s="6"/>
      <c r="N26" s="6" t="str">
        <f>IF($O$32 ="G1", 'G1'!$D33,"")</f>
        <v/>
      </c>
      <c r="O26" s="6" t="str">
        <f>IF($O$32 ="G2", 'G2'!$D33,"")</f>
        <v/>
      </c>
      <c r="P26" s="6" t="str">
        <f>IF($O$32 ="G3", 'G3'!$D33,"")</f>
        <v/>
      </c>
      <c r="Q26" s="6" t="str">
        <f>IF($O$32 ="G4", 'G4'!$D33,"")</f>
        <v/>
      </c>
      <c r="R26" s="6" t="str">
        <f>IF($O$32 ="G5", 'G5'!$D33,"")</f>
        <v/>
      </c>
      <c r="S26" s="6" t="str">
        <f>IF($O$32 ="G6", 'G6'!$D33,"")</f>
        <v/>
      </c>
      <c r="T26" s="6" t="str">
        <f>IF($O$32 ="G7", 'G7'!$D33,"")</f>
        <v/>
      </c>
      <c r="U26" s="6">
        <f t="shared" si="8"/>
        <v>0</v>
      </c>
      <c r="V26" s="11">
        <f>'G1'!$D33+'G2'!$D33+'G3'!$D33+'G4'!$D33+'G5'!$D33+'G6'!$D33+'G7'!$D33</f>
        <v>0</v>
      </c>
    </row>
    <row r="27">
      <c r="B27" s="5"/>
      <c r="C27" s="5" t="s">
        <v>42</v>
      </c>
      <c r="D27" s="6">
        <f>'G1'!AF34+'G2'!AF34+'G3'!AF34+'G4'!AF34+'G5'!AF34+'G6'!AF34+'G7'!AF34</f>
        <v>0</v>
      </c>
      <c r="E27" s="6">
        <f>'G1'!AG34+'G2'!AG34+'G3'!AG34+'G4'!AG34+'G5'!AG34+'G6'!AG34+'G7'!AG34</f>
        <v>0</v>
      </c>
      <c r="F27" s="6">
        <f>'G1'!AH34+'G2'!AH34+'G3'!AH34+'G4'!AH34+'G5'!AH34+'G6'!AH34+'G7'!AH34</f>
        <v>0</v>
      </c>
      <c r="G27" s="6">
        <f>'G1'!AI34+'G2'!AI34+'G3'!AI34+'G4'!AI34+'G5'!AI34+'G6'!AI34+'G7'!AI34</f>
        <v>0</v>
      </c>
      <c r="H27" s="6">
        <f>'G1'!AJ34+'G2'!AJ34+'G3'!AJ34+'G4'!AJ34+'G5'!AJ34+'G6'!AJ34+'G7'!AJ34</f>
        <v>0</v>
      </c>
      <c r="I27" s="14" t="str">
        <f t="shared" si="5"/>
        <v/>
      </c>
      <c r="J27" s="15" t="str">
        <f t="shared" si="6"/>
        <v/>
      </c>
      <c r="K27" s="9"/>
      <c r="L27" s="10" t="str">
        <f t="shared" si="7"/>
        <v>FMP 10</v>
      </c>
      <c r="M27" s="6"/>
      <c r="N27" s="6" t="str">
        <f>IF($O$32 ="G1", 'G1'!$D34,"")</f>
        <v/>
      </c>
      <c r="O27" s="6" t="str">
        <f>IF($O$32 ="G2", 'G2'!$D34,"")</f>
        <v/>
      </c>
      <c r="P27" s="6" t="str">
        <f>IF($O$32 ="G3", 'G3'!$D34,"")</f>
        <v/>
      </c>
      <c r="Q27" s="6" t="str">
        <f>IF($O$32 ="G4", 'G4'!$D34,"")</f>
        <v/>
      </c>
      <c r="R27" s="6" t="str">
        <f>IF($O$32 ="G5", 'G5'!$D34,"")</f>
        <v/>
      </c>
      <c r="S27" s="6" t="str">
        <f>IF($O$32 ="G6", 'G6'!$D34,"")</f>
        <v/>
      </c>
      <c r="T27" s="6" t="str">
        <f>IF($O$32 ="G7", 'G7'!$D34,"")</f>
        <v/>
      </c>
      <c r="U27" s="6">
        <f t="shared" si="8"/>
        <v>0</v>
      </c>
      <c r="V27" s="11">
        <f>'G1'!$D34+'G2'!$D34+'G3'!$D34+'G4'!$D34+'G5'!$D34+'G6'!$D34+'G7'!$D34</f>
        <v>0</v>
      </c>
    </row>
    <row r="28">
      <c r="B28" s="5"/>
      <c r="C28" s="5" t="s">
        <v>43</v>
      </c>
      <c r="D28" s="6">
        <f>'G1'!AF35+'G2'!AF35+'G3'!AF35+'G4'!AF35+'G5'!AF35+'G6'!AF35+'G7'!AF35</f>
        <v>0</v>
      </c>
      <c r="E28" s="6">
        <f>'G1'!AG35+'G2'!AG35+'G3'!AG35+'G4'!AG35+'G5'!AG35+'G6'!AG35+'G7'!AG35</f>
        <v>0</v>
      </c>
      <c r="F28" s="6">
        <f>'G1'!AH35+'G2'!AH35+'G3'!AH35+'G4'!AH35+'G5'!AH35+'G6'!AH35+'G7'!AH35</f>
        <v>0</v>
      </c>
      <c r="G28" s="6">
        <f>'G1'!AI35+'G2'!AI35+'G3'!AI35+'G4'!AI35+'G5'!AI35+'G6'!AI35+'G7'!AI35</f>
        <v>0</v>
      </c>
      <c r="H28" s="6">
        <f>'G1'!AJ35+'G2'!AJ35+'G3'!AJ35+'G4'!AJ35+'G5'!AJ35+'G6'!AJ35+'G7'!AJ35</f>
        <v>0</v>
      </c>
      <c r="I28" s="14" t="str">
        <f t="shared" si="5"/>
        <v/>
      </c>
      <c r="J28" s="15" t="str">
        <f t="shared" si="6"/>
        <v/>
      </c>
      <c r="K28" s="9"/>
      <c r="L28" s="10" t="str">
        <f t="shared" si="7"/>
        <v>FMP 11</v>
      </c>
      <c r="M28" s="6"/>
      <c r="N28" s="6" t="str">
        <f>IF($O$32 ="G1", 'G1'!$D35,"")</f>
        <v/>
      </c>
      <c r="O28" s="6" t="str">
        <f>IF($O$32 ="G2", 'G2'!$D35,"")</f>
        <v/>
      </c>
      <c r="P28" s="6" t="str">
        <f>IF($O$32 ="G3", 'G3'!$D35,"")</f>
        <v/>
      </c>
      <c r="Q28" s="6" t="str">
        <f>IF($O$32 ="G4", 'G4'!$D35,"")</f>
        <v/>
      </c>
      <c r="R28" s="6" t="str">
        <f>IF($O$32 ="G5", 'G5'!$D35,"")</f>
        <v/>
      </c>
      <c r="S28" s="6" t="str">
        <f>IF($O$32 ="G6", 'G6'!$D35,"")</f>
        <v/>
      </c>
      <c r="T28" s="6" t="str">
        <f>IF($O$32 ="G7", 'G7'!$D35,"")</f>
        <v/>
      </c>
      <c r="U28" s="6">
        <f t="shared" si="8"/>
        <v>0</v>
      </c>
      <c r="V28" s="11">
        <f>'G1'!$D35+'G2'!$D35+'G3'!$D35+'G4'!$D35+'G5'!$D35+'G6'!$D35+'G7'!$D35</f>
        <v>0</v>
      </c>
    </row>
    <row r="29">
      <c r="B29" s="5"/>
      <c r="C29" s="5" t="s">
        <v>44</v>
      </c>
      <c r="D29" s="6">
        <f>'G1'!AF36+'G2'!AF36+'G3'!AF36+'G4'!AF36+'G5'!AF36+'G6'!AF36+'G7'!AF36</f>
        <v>0</v>
      </c>
      <c r="E29" s="6">
        <f>'G1'!AG36+'G2'!AG36+'G3'!AG36+'G4'!AG36+'G5'!AG36+'G6'!AG36+'G7'!AG36</f>
        <v>0</v>
      </c>
      <c r="F29" s="6">
        <f>'G1'!AH36+'G2'!AH36+'G3'!AH36+'G4'!AH36+'G5'!AH36+'G6'!AH36+'G7'!AH36</f>
        <v>0</v>
      </c>
      <c r="G29" s="6">
        <f>'G1'!AI36+'G2'!AI36+'G3'!AI36+'G4'!AI36+'G5'!AI36+'G6'!AI36+'G7'!AI36</f>
        <v>0</v>
      </c>
      <c r="H29" s="6">
        <f>'G1'!AJ36+'G2'!AJ36+'G3'!AJ36+'G4'!AJ36+'G5'!AJ36+'G6'!AJ36+'G7'!AJ36</f>
        <v>0</v>
      </c>
      <c r="I29" s="14" t="str">
        <f t="shared" si="5"/>
        <v/>
      </c>
      <c r="J29" s="15" t="str">
        <f t="shared" si="6"/>
        <v/>
      </c>
      <c r="K29" s="9"/>
      <c r="L29" s="10" t="str">
        <f t="shared" si="7"/>
        <v>FMP 12</v>
      </c>
      <c r="M29" s="6"/>
      <c r="N29" s="6" t="str">
        <f>IF($O$32 ="G1", 'G1'!$D36,"")</f>
        <v/>
      </c>
      <c r="O29" s="6" t="str">
        <f>IF($O$32 ="G2", 'G2'!$D36,"")</f>
        <v/>
      </c>
      <c r="P29" s="6" t="str">
        <f>IF($O$32 ="G3", 'G3'!$D36,"")</f>
        <v/>
      </c>
      <c r="Q29" s="6" t="str">
        <f>IF($O$32 ="G4", 'G4'!$D36,"")</f>
        <v/>
      </c>
      <c r="R29" s="6" t="str">
        <f>IF($O$32 ="G5", 'G5'!$D36,"")</f>
        <v/>
      </c>
      <c r="S29" s="6" t="str">
        <f>IF($O$32 ="G6", 'G6'!$D36,"")</f>
        <v/>
      </c>
      <c r="T29" s="6" t="str">
        <f>IF($O$32 ="G7", 'G7'!$D36,"")</f>
        <v/>
      </c>
      <c r="U29" s="6">
        <f t="shared" si="8"/>
        <v>0</v>
      </c>
      <c r="V29" s="11">
        <f>'G1'!$D36+'G2'!$D36+'G3'!$D36+'G4'!$D36+'G5'!$D36+'G6'!$D36+'G7'!$D36</f>
        <v>0</v>
      </c>
    </row>
    <row r="30">
      <c r="B30" s="5"/>
      <c r="C30" s="5" t="s">
        <v>45</v>
      </c>
      <c r="D30" s="6">
        <f>'G1'!AF37+'G2'!AF37+'G3'!AF37+'G4'!AF37+'G5'!AF37+'G6'!AF37+'G7'!AF37</f>
        <v>0</v>
      </c>
      <c r="E30" s="6">
        <f>'G1'!AG37+'G2'!AG37+'G3'!AG37+'G4'!AG37+'G5'!AG37+'G6'!AG37+'G7'!AG37</f>
        <v>0</v>
      </c>
      <c r="F30" s="6">
        <f>'G1'!AH37+'G2'!AH37+'G3'!AH37+'G4'!AH37+'G5'!AH37+'G6'!AH37+'G7'!AH37</f>
        <v>0</v>
      </c>
      <c r="G30" s="6">
        <f>'G1'!AI37+'G2'!AI37+'G3'!AI37+'G4'!AI37+'G5'!AI37+'G6'!AI37+'G7'!AI37</f>
        <v>0</v>
      </c>
      <c r="H30" s="6">
        <f>'G1'!AJ37+'G2'!AJ37+'G3'!AJ37+'G4'!AJ37+'G5'!AJ37+'G6'!AJ37+'G7'!AJ37</f>
        <v>0</v>
      </c>
      <c r="I30" s="14" t="str">
        <f t="shared" si="5"/>
        <v/>
      </c>
      <c r="J30" s="15" t="str">
        <f t="shared" si="6"/>
        <v/>
      </c>
      <c r="K30" s="9"/>
      <c r="L30" s="10" t="str">
        <f t="shared" si="7"/>
        <v>FMP 13</v>
      </c>
      <c r="M30" s="6"/>
      <c r="N30" s="6" t="str">
        <f>IF($O$32 ="G1", 'G1'!$D37,"")</f>
        <v/>
      </c>
      <c r="O30" s="6" t="str">
        <f>IF($O$32 ="G2", 'G2'!$D37,"")</f>
        <v/>
      </c>
      <c r="P30" s="6" t="str">
        <f>IF($O$32 ="G3", 'G3'!$D37,"")</f>
        <v/>
      </c>
      <c r="Q30" s="6" t="str">
        <f>IF($O$32 ="G4", 'G4'!$D37,"")</f>
        <v/>
      </c>
      <c r="R30" s="6" t="str">
        <f>IF($O$32 ="G5", 'G5'!$D37,"")</f>
        <v/>
      </c>
      <c r="S30" s="6" t="str">
        <f>IF($O$32 ="G6", 'G6'!$D37,"")</f>
        <v/>
      </c>
      <c r="T30" s="6" t="str">
        <f>IF($O$32 ="G7", 'G7'!$D37,"")</f>
        <v/>
      </c>
      <c r="U30" s="6">
        <f t="shared" si="8"/>
        <v>0</v>
      </c>
      <c r="V30" s="11">
        <f>'G1'!$D37+'G2'!$D37+'G3'!$D37+'G4'!$D37+'G5'!$D37+'G6'!$D37+'G7'!$D37</f>
        <v>0</v>
      </c>
    </row>
    <row r="32">
      <c r="B32" s="16" t="s">
        <v>46</v>
      </c>
      <c r="C32" s="16" t="s">
        <v>1</v>
      </c>
      <c r="D32" s="16" t="s">
        <v>47</v>
      </c>
      <c r="E32" s="16" t="s">
        <v>48</v>
      </c>
      <c r="F32" s="16" t="s">
        <v>49</v>
      </c>
      <c r="G32" s="16" t="s">
        <v>50</v>
      </c>
      <c r="H32" s="16"/>
      <c r="I32" s="16"/>
      <c r="J32" s="16"/>
      <c r="N32" s="16" t="s">
        <v>51</v>
      </c>
      <c r="O32" s="17" t="s">
        <v>10</v>
      </c>
    </row>
    <row r="33">
      <c r="B33" s="1" t="s">
        <v>0</v>
      </c>
      <c r="C33" s="1"/>
      <c r="D33" s="6"/>
      <c r="E33" s="6"/>
      <c r="F33" s="6"/>
      <c r="G33" s="6"/>
      <c r="L33" s="4" t="s">
        <v>0</v>
      </c>
      <c r="M33" s="2" t="s">
        <v>9</v>
      </c>
    </row>
    <row r="34">
      <c r="B34" s="5"/>
      <c r="C34" s="5" t="str">
        <f t="shared" ref="C34:C60" si="9">C4</f>
        <v>MMP 1</v>
      </c>
      <c r="D34" s="6">
        <f>'G1'!D50+'G2'!D50+'G3'!D50+'G4'!D50+'G5'!D50+'G6'!D50+'G7'!D50</f>
        <v>0</v>
      </c>
      <c r="E34" s="6">
        <f>'G1'!E50+'G2'!E50+'G3'!E50+'G4'!E50+'G5'!E50+'G6'!E50+'G7'!E50</f>
        <v>0</v>
      </c>
      <c r="F34" s="6">
        <f>'G1'!F50+'G2'!F50+'G3'!F50+'G4'!F50+'G5'!F50+'G6'!F50+'G7'!F50</f>
        <v>0</v>
      </c>
      <c r="G34" s="6">
        <f>'G1'!G50+'G2'!G50+'G3'!G50+'G4'!G50+'G5'!G50+'G6'!G50+'G7'!G50</f>
        <v>0</v>
      </c>
      <c r="K34" s="9"/>
      <c r="L34" s="10" t="str">
        <f t="shared" ref="L34:L60" si="10">L4</f>
        <v>MMP 1</v>
      </c>
      <c r="M34" s="6"/>
    </row>
    <row r="35">
      <c r="B35" s="5"/>
      <c r="C35" s="5" t="str">
        <f t="shared" si="9"/>
        <v>MMP 2</v>
      </c>
      <c r="D35" s="6">
        <f>'G1'!D51+'G2'!D51+'G3'!D51+'G4'!D51+'G5'!D51+'G6'!D51+'G7'!D51</f>
        <v>0</v>
      </c>
      <c r="E35" s="6">
        <f>'G1'!E51+'G2'!E51+'G3'!E51+'G4'!E51+'G5'!E51+'G6'!E51+'G7'!E51</f>
        <v>0</v>
      </c>
      <c r="F35" s="6">
        <f>'G1'!F51+'G2'!F51+'G3'!F51+'G4'!F51+'G5'!F51+'G6'!F51+'G7'!F51</f>
        <v>0</v>
      </c>
      <c r="G35" s="6">
        <f>'G1'!G51+'G2'!G51+'G3'!G51+'G4'!G51+'G5'!G51+'G6'!G51+'G7'!G51</f>
        <v>0</v>
      </c>
      <c r="K35" s="9"/>
      <c r="L35" s="10" t="str">
        <f t="shared" si="10"/>
        <v>MMP 2</v>
      </c>
      <c r="M35" s="11"/>
    </row>
    <row r="36">
      <c r="B36" s="5"/>
      <c r="C36" s="5" t="str">
        <f t="shared" si="9"/>
        <v>MMP 3</v>
      </c>
      <c r="D36" s="6">
        <f>'G1'!D52+'G2'!D52+'G3'!D52+'G4'!D52+'G5'!D52+'G6'!D52+'G7'!D52</f>
        <v>0</v>
      </c>
      <c r="E36" s="6">
        <f>'G1'!E52+'G2'!E52+'G3'!E52+'G4'!E52+'G5'!E52+'G6'!E52+'G7'!E52</f>
        <v>0</v>
      </c>
      <c r="F36" s="6">
        <f>'G1'!F52+'G2'!F52+'G3'!F52+'G4'!F52+'G5'!F52+'G6'!F52+'G7'!F52</f>
        <v>0</v>
      </c>
      <c r="G36" s="6">
        <f>'G1'!G52+'G2'!G52+'G3'!G52+'G4'!G52+'G5'!G52+'G6'!G52+'G7'!G52</f>
        <v>0</v>
      </c>
      <c r="K36" s="9"/>
      <c r="L36" s="10" t="str">
        <f t="shared" si="10"/>
        <v>MMP 3</v>
      </c>
      <c r="M36" s="6"/>
    </row>
    <row r="37">
      <c r="B37" s="5"/>
      <c r="C37" s="5" t="str">
        <f t="shared" si="9"/>
        <v>MMP 4</v>
      </c>
      <c r="D37" s="6">
        <f>'G1'!D53+'G2'!D53+'G3'!D53+'G4'!D53+'G5'!D53+'G6'!D53+'G7'!D53</f>
        <v>0</v>
      </c>
      <c r="E37" s="6">
        <f>'G1'!E53+'G2'!E53+'G3'!E53+'G4'!E53+'G5'!E53+'G6'!E53+'G7'!E53</f>
        <v>0</v>
      </c>
      <c r="F37" s="6">
        <f>'G1'!F53+'G2'!F53+'G3'!F53+'G4'!F53+'G5'!F53+'G6'!F53+'G7'!F53</f>
        <v>0</v>
      </c>
      <c r="G37" s="6">
        <f>'G1'!G53+'G2'!G53+'G3'!G53+'G4'!G53+'G5'!G53+'G6'!G53+'G7'!G53</f>
        <v>0</v>
      </c>
      <c r="K37" s="9"/>
      <c r="L37" s="10" t="str">
        <f t="shared" si="10"/>
        <v>MMP 4</v>
      </c>
      <c r="M37" s="6"/>
    </row>
    <row r="38">
      <c r="B38" s="5"/>
      <c r="C38" s="5" t="str">
        <f t="shared" si="9"/>
        <v>MMP 5</v>
      </c>
      <c r="D38" s="6">
        <f>'G1'!D54+'G2'!D54+'G3'!D54+'G4'!D54+'G5'!D54+'G6'!D54+'G7'!D54</f>
        <v>0</v>
      </c>
      <c r="E38" s="6">
        <f>'G1'!E54+'G2'!E54+'G3'!E54+'G4'!E54+'G5'!E54+'G6'!E54+'G7'!E54</f>
        <v>0</v>
      </c>
      <c r="F38" s="6">
        <f>'G1'!F54+'G2'!F54+'G3'!F54+'G4'!F54+'G5'!F54+'G6'!F54+'G7'!F54</f>
        <v>0</v>
      </c>
      <c r="G38" s="6">
        <f>'G1'!G54+'G2'!G54+'G3'!G54+'G4'!G54+'G5'!G54+'G6'!G54+'G7'!G54</f>
        <v>0</v>
      </c>
      <c r="K38" s="9"/>
      <c r="L38" s="10" t="str">
        <f t="shared" si="10"/>
        <v>MMP 5</v>
      </c>
      <c r="M38" s="6"/>
    </row>
    <row r="39">
      <c r="B39" s="5"/>
      <c r="C39" s="5" t="str">
        <f t="shared" si="9"/>
        <v>MMP 6</v>
      </c>
      <c r="D39" s="6">
        <f>'G1'!D55+'G2'!D55+'G3'!D55+'G4'!D55+'G5'!D55+'G6'!D55+'G7'!D55</f>
        <v>0</v>
      </c>
      <c r="E39" s="6">
        <f>'G1'!E55+'G2'!E55+'G3'!E55+'G4'!E55+'G5'!E55+'G6'!E55+'G7'!E55</f>
        <v>0</v>
      </c>
      <c r="F39" s="6">
        <f>'G1'!F55+'G2'!F55+'G3'!F55+'G4'!F55+'G5'!F55+'G6'!F55+'G7'!F55</f>
        <v>0</v>
      </c>
      <c r="G39" s="6">
        <f>'G1'!G55+'G2'!G55+'G3'!G55+'G4'!G55+'G5'!G55+'G6'!G55+'G7'!G55</f>
        <v>0</v>
      </c>
      <c r="K39" s="9"/>
      <c r="L39" s="10" t="str">
        <f t="shared" si="10"/>
        <v>MMP 6</v>
      </c>
      <c r="M39" s="6"/>
    </row>
    <row r="40">
      <c r="B40" s="5"/>
      <c r="C40" s="5" t="str">
        <f t="shared" si="9"/>
        <v>MMP 7</v>
      </c>
      <c r="D40" s="6">
        <f>'G1'!D56+'G2'!D56+'G3'!D56+'G4'!D56+'G5'!D56+'G6'!D56+'G7'!D56</f>
        <v>0</v>
      </c>
      <c r="E40" s="6">
        <f>'G1'!E56+'G2'!E56+'G3'!E56+'G4'!E56+'G5'!E56+'G6'!E56+'G7'!E56</f>
        <v>0</v>
      </c>
      <c r="F40" s="6">
        <f>'G1'!F56+'G2'!F56+'G3'!F56+'G4'!F56+'G5'!F56+'G6'!F56+'G7'!F56</f>
        <v>0</v>
      </c>
      <c r="G40" s="6">
        <f>'G1'!G56+'G2'!G56+'G3'!G56+'G4'!G56+'G5'!G56+'G6'!G56+'G7'!G56</f>
        <v>0</v>
      </c>
      <c r="K40" s="9"/>
      <c r="L40" s="10" t="str">
        <f t="shared" si="10"/>
        <v>MMP 7</v>
      </c>
      <c r="M40" s="6"/>
    </row>
    <row r="41">
      <c r="B41" s="5"/>
      <c r="C41" s="5" t="str">
        <f t="shared" si="9"/>
        <v>MMP 8</v>
      </c>
      <c r="D41" s="6">
        <f>'G1'!D57+'G2'!D57+'G3'!D57+'G4'!D57+'G5'!D57+'G6'!D57+'G7'!D57</f>
        <v>0</v>
      </c>
      <c r="E41" s="6">
        <f>'G1'!E57+'G2'!E57+'G3'!E57+'G4'!E57+'G5'!E57+'G6'!E57+'G7'!E57</f>
        <v>0</v>
      </c>
      <c r="F41" s="6">
        <f>'G1'!F57+'G2'!F57+'G3'!F57+'G4'!F57+'G5'!F57+'G6'!F57+'G7'!F57</f>
        <v>0</v>
      </c>
      <c r="G41" s="6">
        <f>'G1'!G57+'G2'!G57+'G3'!G57+'G4'!G57+'G5'!G57+'G6'!G57+'G7'!G57</f>
        <v>0</v>
      </c>
      <c r="K41" s="9"/>
      <c r="L41" s="10" t="str">
        <f t="shared" si="10"/>
        <v>MMP 8</v>
      </c>
      <c r="M41" s="6"/>
    </row>
    <row r="42">
      <c r="B42" s="5"/>
      <c r="C42" s="5" t="str">
        <f t="shared" si="9"/>
        <v>MMP 9</v>
      </c>
      <c r="D42" s="6">
        <f>'G1'!D58+'G2'!D58+'G3'!D58+'G4'!D58+'G5'!D58+'G6'!D58+'G7'!D58</f>
        <v>0</v>
      </c>
      <c r="E42" s="6">
        <f>'G1'!E58+'G2'!E58+'G3'!E58+'G4'!E58+'G5'!E58+'G6'!E58+'G7'!E58</f>
        <v>0</v>
      </c>
      <c r="F42" s="6">
        <f>'G1'!F58+'G2'!F58+'G3'!F58+'G4'!F58+'G5'!F58+'G6'!F58+'G7'!F58</f>
        <v>0</v>
      </c>
      <c r="G42" s="6">
        <f>'G1'!G58+'G2'!G58+'G3'!G58+'G4'!G58+'G5'!G58+'G6'!G58+'G7'!G58</f>
        <v>0</v>
      </c>
      <c r="K42" s="9"/>
      <c r="L42" s="10" t="str">
        <f t="shared" si="10"/>
        <v>MMP 9</v>
      </c>
      <c r="M42" s="6"/>
    </row>
    <row r="43">
      <c r="B43" s="5"/>
      <c r="C43" s="5" t="str">
        <f t="shared" si="9"/>
        <v>MMP 10</v>
      </c>
      <c r="D43" s="6">
        <f>'G1'!D59+'G2'!D59+'G3'!D59+'G4'!D59+'G5'!D59+'G6'!D59+'G7'!D59</f>
        <v>0</v>
      </c>
      <c r="E43" s="6">
        <f>'G1'!E59+'G2'!E59+'G3'!E59+'G4'!E59+'G5'!E59+'G6'!E59+'G7'!E59</f>
        <v>0</v>
      </c>
      <c r="F43" s="6">
        <f>'G1'!F59+'G2'!F59+'G3'!F59+'G4'!F59+'G5'!F59+'G6'!F59+'G7'!F59</f>
        <v>0</v>
      </c>
      <c r="G43" s="6">
        <f>'G1'!G59+'G2'!G59+'G3'!G59+'G4'!G59+'G5'!G59+'G6'!G59+'G7'!G59</f>
        <v>0</v>
      </c>
      <c r="K43" s="9"/>
      <c r="L43" s="10" t="str">
        <f t="shared" si="10"/>
        <v>MMP 10</v>
      </c>
      <c r="M43" s="6"/>
    </row>
    <row r="44">
      <c r="B44" s="5"/>
      <c r="C44" s="5" t="str">
        <f t="shared" si="9"/>
        <v>MMP 11</v>
      </c>
      <c r="D44" s="6">
        <f>'G1'!D60+'G2'!D60+'G3'!D60+'G4'!D60+'G5'!D60+'G6'!D60+'G7'!D60</f>
        <v>0</v>
      </c>
      <c r="E44" s="6">
        <f>'G1'!E60+'G2'!E60+'G3'!E60+'G4'!E60+'G5'!E60+'G6'!E60+'G7'!E60</f>
        <v>0</v>
      </c>
      <c r="F44" s="6">
        <f>'G1'!F60+'G2'!F60+'G3'!F60+'G4'!F60+'G5'!F60+'G6'!F60+'G7'!F60</f>
        <v>0</v>
      </c>
      <c r="G44" s="6">
        <f>'G1'!G60+'G2'!G60+'G3'!G60+'G4'!G60+'G5'!G60+'G6'!G60+'G7'!G60</f>
        <v>0</v>
      </c>
      <c r="K44" s="9"/>
      <c r="L44" s="10" t="str">
        <f t="shared" si="10"/>
        <v>MMP 11</v>
      </c>
      <c r="M44" s="6"/>
    </row>
    <row r="45">
      <c r="B45" s="5"/>
      <c r="C45" s="5" t="str">
        <f t="shared" si="9"/>
        <v>MMP 12</v>
      </c>
      <c r="D45" s="6">
        <f>'G1'!D61+'G2'!D61+'G3'!D61+'G4'!D61+'G5'!D61+'G6'!D61+'G7'!D61</f>
        <v>0</v>
      </c>
      <c r="E45" s="6">
        <f>'G1'!E61+'G2'!E61+'G3'!E61+'G4'!E61+'G5'!E61+'G6'!E61+'G7'!E61</f>
        <v>0</v>
      </c>
      <c r="F45" s="6">
        <f>'G1'!F61+'G2'!F61+'G3'!F61+'G4'!F61+'G5'!F61+'G6'!F61+'G7'!F61</f>
        <v>0</v>
      </c>
      <c r="G45" s="6">
        <f>'G1'!G61+'G2'!G61+'G3'!G61+'G4'!G61+'G5'!G61+'G6'!G61+'G7'!G61</f>
        <v>0</v>
      </c>
      <c r="K45" s="9"/>
      <c r="L45" s="10" t="str">
        <f t="shared" si="10"/>
        <v>MMP 12</v>
      </c>
      <c r="M45" s="6"/>
    </row>
    <row r="46">
      <c r="B46" s="5"/>
      <c r="C46" s="5" t="str">
        <f t="shared" si="9"/>
        <v>MMP 13</v>
      </c>
      <c r="D46" s="6">
        <f>'G1'!D62+'G2'!D62+'G3'!D62+'G4'!D62+'G5'!D62+'G6'!D62+'G7'!D62</f>
        <v>0</v>
      </c>
      <c r="E46" s="6">
        <f>'G1'!E62+'G2'!E62+'G3'!E62+'G4'!E62+'G5'!E62+'G6'!E62+'G7'!E62</f>
        <v>0</v>
      </c>
      <c r="F46" s="6">
        <f>'G1'!F62+'G2'!F62+'G3'!F62+'G4'!F62+'G5'!F62+'G6'!F62+'G7'!F62</f>
        <v>0</v>
      </c>
      <c r="G46" s="6">
        <f>'G1'!G62+'G2'!G62+'G3'!G62+'G4'!G62+'G5'!G62+'G6'!G62+'G7'!G62</f>
        <v>0</v>
      </c>
      <c r="K46" s="9"/>
      <c r="L46" s="10" t="str">
        <f t="shared" si="10"/>
        <v>MMP 13</v>
      </c>
      <c r="M46" s="11"/>
    </row>
    <row r="47">
      <c r="B47" s="1" t="s">
        <v>32</v>
      </c>
      <c r="C47" s="5" t="str">
        <f t="shared" si="9"/>
        <v/>
      </c>
      <c r="D47" s="6"/>
      <c r="E47" s="6"/>
      <c r="F47" s="6"/>
      <c r="G47" s="6"/>
      <c r="K47" s="9"/>
      <c r="L47" s="18" t="str">
        <f t="shared" si="10"/>
        <v>Penguins</v>
      </c>
      <c r="M47" s="11"/>
    </row>
    <row r="48">
      <c r="B48" s="5"/>
      <c r="C48" s="5" t="str">
        <f t="shared" si="9"/>
        <v>FMP 1</v>
      </c>
      <c r="D48" s="6">
        <f>'G1'!D64+'G2'!D64+'G3'!D64+'G4'!D64+'G5'!D64+'G6'!D64+'G7'!D64</f>
        <v>0</v>
      </c>
      <c r="E48" s="6">
        <f>'G1'!E64+'G2'!E64+'G3'!E64+'G4'!E64+'G5'!E64+'G6'!E64+'G7'!E64</f>
        <v>0</v>
      </c>
      <c r="F48" s="6">
        <f>'G1'!F64+'G2'!F64+'G3'!F64+'G4'!F64+'G5'!F64+'G6'!F64+'G7'!F64</f>
        <v>0</v>
      </c>
      <c r="G48" s="6">
        <f>'G1'!G64+'G2'!G64+'G3'!G64+'G4'!G64+'G5'!G64+'G6'!G64+'G7'!G64</f>
        <v>0</v>
      </c>
      <c r="K48" s="9"/>
      <c r="L48" s="10" t="str">
        <f t="shared" si="10"/>
        <v>FMP 1</v>
      </c>
      <c r="M48" s="6"/>
    </row>
    <row r="49">
      <c r="B49" s="5"/>
      <c r="C49" s="5" t="str">
        <f t="shared" si="9"/>
        <v>FMP 2</v>
      </c>
      <c r="D49" s="6">
        <f>'G1'!D65+'G2'!D65+'G3'!D65+'G4'!D65+'G5'!D65+'G6'!D65+'G7'!D65</f>
        <v>0</v>
      </c>
      <c r="E49" s="6">
        <f>'G1'!E65+'G2'!E65+'G3'!E65+'G4'!E65+'G5'!E65+'G6'!E65+'G7'!E65</f>
        <v>0</v>
      </c>
      <c r="F49" s="6">
        <f>'G1'!F65+'G2'!F65+'G3'!F65+'G4'!F65+'G5'!F65+'G6'!F65+'G7'!F65</f>
        <v>0</v>
      </c>
      <c r="G49" s="6">
        <f>'G1'!G65+'G2'!G65+'G3'!G65+'G4'!G65+'G5'!G65+'G6'!G65+'G7'!G65</f>
        <v>0</v>
      </c>
      <c r="K49" s="9"/>
      <c r="L49" s="10" t="str">
        <f t="shared" si="10"/>
        <v>FMP 2</v>
      </c>
      <c r="M49" s="6"/>
    </row>
    <row r="50">
      <c r="B50" s="5"/>
      <c r="C50" s="5" t="str">
        <f t="shared" si="9"/>
        <v>FMP 3</v>
      </c>
      <c r="D50" s="6">
        <f>'G1'!D66+'G2'!D66+'G3'!D66+'G4'!D66+'G5'!D66+'G6'!D66+'G7'!D66</f>
        <v>0</v>
      </c>
      <c r="E50" s="6">
        <f>'G1'!E66+'G2'!E66+'G3'!E66+'G4'!E66+'G5'!E66+'G6'!E66+'G7'!E66</f>
        <v>0</v>
      </c>
      <c r="F50" s="6">
        <f>'G1'!F66+'G2'!F66+'G3'!F66+'G4'!F66+'G5'!F66+'G6'!F66+'G7'!F66</f>
        <v>0</v>
      </c>
      <c r="G50" s="6">
        <f>'G1'!G66+'G2'!G66+'G3'!G66+'G4'!G66+'G5'!G66+'G6'!G66+'G7'!G66</f>
        <v>0</v>
      </c>
      <c r="K50" s="9"/>
      <c r="L50" s="10" t="str">
        <f t="shared" si="10"/>
        <v>FMP 3</v>
      </c>
      <c r="M50" s="6"/>
    </row>
    <row r="51">
      <c r="B51" s="5"/>
      <c r="C51" s="5" t="str">
        <f t="shared" si="9"/>
        <v>FMP 4</v>
      </c>
      <c r="D51" s="6">
        <f>'G1'!D67+'G2'!D67+'G3'!D67+'G4'!D67+'G5'!D67+'G6'!D67+'G7'!D67</f>
        <v>0</v>
      </c>
      <c r="E51" s="6">
        <f>'G1'!E67+'G2'!E67+'G3'!E67+'G4'!E67+'G5'!E67+'G6'!E67+'G7'!E67</f>
        <v>0</v>
      </c>
      <c r="F51" s="6">
        <f>'G1'!F67+'G2'!F67+'G3'!F67+'G4'!F67+'G5'!F67+'G6'!F67+'G7'!F67</f>
        <v>0</v>
      </c>
      <c r="G51" s="6">
        <f>'G1'!G67+'G2'!G67+'G3'!G67+'G4'!G67+'G5'!G67+'G6'!G67+'G7'!G67</f>
        <v>0</v>
      </c>
      <c r="K51" s="9"/>
      <c r="L51" s="10" t="str">
        <f t="shared" si="10"/>
        <v>FMP 4</v>
      </c>
      <c r="M51" s="6"/>
    </row>
    <row r="52">
      <c r="B52" s="5"/>
      <c r="C52" s="5" t="str">
        <f t="shared" si="9"/>
        <v>FMP 5</v>
      </c>
      <c r="D52" s="6">
        <f>'G1'!D68+'G2'!D68+'G3'!D68+'G4'!D68+'G5'!D68+'G6'!D68+'G7'!D68</f>
        <v>0</v>
      </c>
      <c r="E52" s="6">
        <f>'G1'!E68+'G2'!E68+'G3'!E68+'G4'!E68+'G5'!E68+'G6'!E68+'G7'!E68</f>
        <v>0</v>
      </c>
      <c r="F52" s="6">
        <f>'G1'!F68+'G2'!F68+'G3'!F68+'G4'!F68+'G5'!F68+'G6'!F68+'G7'!F68</f>
        <v>0</v>
      </c>
      <c r="G52" s="6">
        <f>'G1'!G68+'G2'!G68+'G3'!G68+'G4'!G68+'G5'!G68+'G6'!G68+'G7'!G68</f>
        <v>0</v>
      </c>
      <c r="K52" s="9"/>
      <c r="L52" s="10" t="str">
        <f t="shared" si="10"/>
        <v>FMP 5</v>
      </c>
      <c r="M52" s="6"/>
    </row>
    <row r="53">
      <c r="B53" s="5"/>
      <c r="C53" s="5" t="str">
        <f t="shared" si="9"/>
        <v>FMP 6</v>
      </c>
      <c r="D53" s="6">
        <f>'G1'!D69+'G2'!D69+'G3'!D69+'G4'!D69+'G5'!D69+'G6'!D69+'G7'!D69</f>
        <v>0</v>
      </c>
      <c r="E53" s="6">
        <f>'G1'!E69+'G2'!E69+'G3'!E69+'G4'!E69+'G5'!E69+'G6'!E69+'G7'!E69</f>
        <v>0</v>
      </c>
      <c r="F53" s="6">
        <f>'G1'!F69+'G2'!F69+'G3'!F69+'G4'!F69+'G5'!F69+'G6'!F69+'G7'!F69</f>
        <v>0</v>
      </c>
      <c r="G53" s="6">
        <f>'G1'!G69+'G2'!G69+'G3'!G69+'G4'!G69+'G5'!G69+'G6'!G69+'G7'!G69</f>
        <v>0</v>
      </c>
      <c r="K53" s="9"/>
      <c r="L53" s="10" t="str">
        <f t="shared" si="10"/>
        <v>FMP 6</v>
      </c>
      <c r="M53" s="6"/>
    </row>
    <row r="54">
      <c r="B54" s="5"/>
      <c r="C54" s="5" t="str">
        <f t="shared" si="9"/>
        <v>FMP 7</v>
      </c>
      <c r="D54" s="6">
        <f>'G1'!D70+'G2'!D70+'G3'!D70+'G4'!D70+'G5'!D70+'G6'!D70+'G7'!D70</f>
        <v>0</v>
      </c>
      <c r="E54" s="6">
        <f>'G1'!E70+'G2'!E70+'G3'!E70+'G4'!E70+'G5'!E70+'G6'!E70+'G7'!E70</f>
        <v>0</v>
      </c>
      <c r="F54" s="6">
        <f>'G1'!F70+'G2'!F70+'G3'!F70+'G4'!F70+'G5'!F70+'G6'!F70+'G7'!F70</f>
        <v>0</v>
      </c>
      <c r="G54" s="6">
        <f>'G1'!G70+'G2'!G70+'G3'!G70+'G4'!G70+'G5'!G70+'G6'!G70+'G7'!G70</f>
        <v>0</v>
      </c>
      <c r="K54" s="9"/>
      <c r="L54" s="10" t="str">
        <f t="shared" si="10"/>
        <v>FMP 7</v>
      </c>
      <c r="M54" s="6"/>
    </row>
    <row r="55">
      <c r="B55" s="5"/>
      <c r="C55" s="5" t="str">
        <f t="shared" si="9"/>
        <v>FMP 8</v>
      </c>
      <c r="D55" s="6">
        <f>'G1'!D71+'G2'!D71+'G3'!D71+'G4'!D71+'G5'!D71+'G6'!D71+'G7'!D71</f>
        <v>0</v>
      </c>
      <c r="E55" s="6">
        <f>'G1'!E71+'G2'!E71+'G3'!E71+'G4'!E71+'G5'!E71+'G6'!E71+'G7'!E71</f>
        <v>0</v>
      </c>
      <c r="F55" s="6">
        <f>'G1'!F71+'G2'!F71+'G3'!F71+'G4'!F71+'G5'!F71+'G6'!F71+'G7'!F71</f>
        <v>0</v>
      </c>
      <c r="G55" s="6">
        <f>'G1'!G71+'G2'!G71+'G3'!G71+'G4'!G71+'G5'!G71+'G6'!G71+'G7'!G71</f>
        <v>0</v>
      </c>
      <c r="K55" s="9"/>
      <c r="L55" s="10" t="str">
        <f t="shared" si="10"/>
        <v>FMP 8</v>
      </c>
      <c r="M55" s="6"/>
    </row>
    <row r="56">
      <c r="B56" s="5"/>
      <c r="C56" s="5" t="str">
        <f t="shared" si="9"/>
        <v>FMP 9</v>
      </c>
      <c r="D56" s="6">
        <f>'G1'!D72+'G2'!D72+'G3'!D72+'G4'!D72+'G5'!D72+'G6'!D72+'G7'!D72</f>
        <v>0</v>
      </c>
      <c r="E56" s="6">
        <f>'G1'!E72+'G2'!E72+'G3'!E72+'G4'!E72+'G5'!E72+'G6'!E72+'G7'!E72</f>
        <v>0</v>
      </c>
      <c r="F56" s="6">
        <f>'G1'!F72+'G2'!F72+'G3'!F72+'G4'!F72+'G5'!F72+'G6'!F72+'G7'!F72</f>
        <v>0</v>
      </c>
      <c r="G56" s="6">
        <f>'G1'!G72+'G2'!G72+'G3'!G72+'G4'!G72+'G5'!G72+'G6'!G72+'G7'!G72</f>
        <v>0</v>
      </c>
      <c r="K56" s="9"/>
      <c r="L56" s="10" t="str">
        <f t="shared" si="10"/>
        <v>FMP 9</v>
      </c>
      <c r="M56" s="6"/>
    </row>
    <row r="57">
      <c r="B57" s="5"/>
      <c r="C57" s="5" t="str">
        <f t="shared" si="9"/>
        <v>FMP 10</v>
      </c>
      <c r="D57" s="6">
        <f>'G1'!D73+'G2'!D73+'G3'!D73+'G4'!D73+'G5'!D73+'G6'!D73+'G7'!D73</f>
        <v>0</v>
      </c>
      <c r="E57" s="6">
        <f>'G1'!E73+'G2'!E73+'G3'!E73+'G4'!E73+'G5'!E73+'G6'!E73+'G7'!E73</f>
        <v>0</v>
      </c>
      <c r="F57" s="6">
        <f>'G1'!F73+'G2'!F73+'G3'!F73+'G4'!F73+'G5'!F73+'G6'!F73+'G7'!F73</f>
        <v>0</v>
      </c>
      <c r="G57" s="6">
        <f>'G1'!G73+'G2'!G73+'G3'!G73+'G4'!G73+'G5'!G73+'G6'!G73+'G7'!G73</f>
        <v>0</v>
      </c>
      <c r="K57" s="9"/>
      <c r="L57" s="10" t="str">
        <f t="shared" si="10"/>
        <v>FMP 10</v>
      </c>
      <c r="M57" s="6"/>
    </row>
    <row r="58">
      <c r="B58" s="5"/>
      <c r="C58" s="5" t="str">
        <f t="shared" si="9"/>
        <v>FMP 11</v>
      </c>
      <c r="D58" s="6">
        <f>'G1'!D74+'G2'!D74+'G3'!D74+'G4'!D74+'G5'!D74+'G6'!D74+'G7'!D74</f>
        <v>0</v>
      </c>
      <c r="E58" s="6">
        <f>'G1'!E74+'G2'!E74+'G3'!E74+'G4'!E74+'G5'!E74+'G6'!E74+'G7'!E74</f>
        <v>0</v>
      </c>
      <c r="F58" s="6">
        <f>'G1'!F74+'G2'!F74+'G3'!F74+'G4'!F74+'G5'!F74+'G6'!F74+'G7'!F74</f>
        <v>0</v>
      </c>
      <c r="G58" s="6">
        <f>'G1'!G74+'G2'!G74+'G3'!G74+'G4'!G74+'G5'!G74+'G6'!G74+'G7'!G74</f>
        <v>0</v>
      </c>
      <c r="K58" s="9"/>
      <c r="L58" s="10" t="str">
        <f t="shared" si="10"/>
        <v>FMP 11</v>
      </c>
      <c r="M58" s="6"/>
    </row>
    <row r="59">
      <c r="B59" s="5"/>
      <c r="C59" s="5" t="str">
        <f t="shared" si="9"/>
        <v>FMP 12</v>
      </c>
      <c r="D59" s="6">
        <f>'G1'!D75+'G2'!D75+'G3'!D75+'G4'!D75+'G5'!D75+'G6'!D75+'G7'!D75</f>
        <v>0</v>
      </c>
      <c r="E59" s="6">
        <f>'G1'!E75+'G2'!E75+'G3'!E75+'G4'!E75+'G5'!E75+'G6'!E75+'G7'!E75</f>
        <v>0</v>
      </c>
      <c r="F59" s="6">
        <f>'G1'!F75+'G2'!F75+'G3'!F75+'G4'!F75+'G5'!F75+'G6'!F75+'G7'!F75</f>
        <v>0</v>
      </c>
      <c r="G59" s="6">
        <f>'G1'!G75+'G2'!G75+'G3'!G75+'G4'!G75+'G5'!G75+'G6'!G75+'G7'!G75</f>
        <v>0</v>
      </c>
      <c r="K59" s="9"/>
      <c r="L59" s="10" t="str">
        <f t="shared" si="10"/>
        <v>FMP 12</v>
      </c>
      <c r="M59" s="6"/>
    </row>
    <row r="60">
      <c r="B60" s="5"/>
      <c r="C60" s="5" t="str">
        <f t="shared" si="9"/>
        <v>FMP 13</v>
      </c>
      <c r="D60" s="6">
        <f>'G1'!D76+'G2'!D76+'G3'!D76+'G4'!D76+'G5'!D76+'G6'!D76+'G7'!D76</f>
        <v>0</v>
      </c>
      <c r="E60" s="6">
        <f>'G1'!E76+'G2'!E76+'G3'!E76+'G4'!E76+'G5'!E76+'G6'!E76+'G7'!E76</f>
        <v>0</v>
      </c>
      <c r="F60" s="6">
        <f>'G1'!F76+'G2'!F76+'G3'!F76+'G4'!F76+'G5'!F76+'G6'!F76+'G7'!F76</f>
        <v>0</v>
      </c>
      <c r="G60" s="6">
        <f>'G1'!G76+'G2'!G76+'G3'!G76+'G4'!G76+'G5'!G76+'G6'!G76+'G7'!G76</f>
        <v>0</v>
      </c>
      <c r="K60" s="9"/>
      <c r="L60" s="10" t="str">
        <f t="shared" si="10"/>
        <v>FMP 13</v>
      </c>
      <c r="M60" s="6"/>
    </row>
    <row r="61">
      <c r="M61" s="19"/>
    </row>
    <row r="62">
      <c r="C62" s="16" t="s">
        <v>52</v>
      </c>
    </row>
    <row r="63">
      <c r="C63" s="19" t="s">
        <v>53</v>
      </c>
      <c r="D63" s="19">
        <f>'G1'!AG45+'G2'!AG45+'G3'!AG45+'G4'!AG45+'G5'!AG45+'G6'!AG45+'G7'!AG45</f>
        <v>0</v>
      </c>
    </row>
    <row r="64">
      <c r="C64" s="19" t="s">
        <v>54</v>
      </c>
      <c r="D64" s="19">
        <f>'G1'!AF45+'G2'!AF45+'G3'!AF45+'G4'!AF45+'G5'!AF45+'G6'!AF45+'G7'!AF45</f>
        <v>0</v>
      </c>
    </row>
    <row r="65">
      <c r="K65" s="9"/>
      <c r="L65" s="9"/>
      <c r="M65" s="19"/>
    </row>
    <row r="66">
      <c r="C66" s="19" t="s">
        <v>55</v>
      </c>
      <c r="D66" s="20" t="str">
        <f>IF(D63=0,, 1-ABS(D64)/D63)</f>
        <v/>
      </c>
      <c r="K66" s="19"/>
      <c r="L66" s="19"/>
      <c r="M66" s="19"/>
    </row>
    <row r="67">
      <c r="K67" s="9"/>
      <c r="L67" s="9"/>
      <c r="M67" s="19"/>
    </row>
    <row r="68">
      <c r="C68" s="19" t="s">
        <v>56</v>
      </c>
      <c r="D68" s="19">
        <f>'G1'!AG46+'G2'!AG46+'G3'!AG46+'G4'!AG46+'G5'!AG46+'G6'!AG46+'G7'!AG46</f>
        <v>0</v>
      </c>
      <c r="K68" s="9"/>
      <c r="L68" s="9"/>
      <c r="M68" s="19"/>
    </row>
    <row r="69">
      <c r="C69" s="19" t="s">
        <v>57</v>
      </c>
      <c r="D69" s="19">
        <f>'G1'!AF46+'G2'!AF46+'G3'!AF46+'G4'!AF46+'G5'!AF46+'G6'!AF46+'G7'!AF46</f>
        <v>0</v>
      </c>
      <c r="K69" s="9"/>
      <c r="L69" s="9"/>
      <c r="M69" s="19"/>
    </row>
    <row r="70">
      <c r="M70" s="19"/>
    </row>
    <row r="71">
      <c r="C71" s="19" t="s">
        <v>58</v>
      </c>
      <c r="D71" s="20" t="str">
        <f>IF(D68=0,, ABS(D69)/D68)</f>
        <v/>
      </c>
    </row>
    <row r="72">
      <c r="K72" s="16"/>
      <c r="L72" s="16"/>
    </row>
    <row r="73">
      <c r="K73" s="21"/>
      <c r="L73" s="21"/>
      <c r="M73" s="22"/>
    </row>
    <row r="74">
      <c r="K74" s="21"/>
      <c r="L74" s="21"/>
      <c r="M74" s="22"/>
    </row>
    <row r="75">
      <c r="K75" s="22"/>
      <c r="L75" s="22"/>
      <c r="M75" s="22"/>
    </row>
    <row r="76">
      <c r="K76" s="21"/>
      <c r="L76" s="21"/>
      <c r="M76" s="22"/>
    </row>
    <row r="77">
      <c r="K77" s="22"/>
      <c r="L77" s="22"/>
      <c r="M77" s="22"/>
    </row>
    <row r="78">
      <c r="K78" s="22"/>
      <c r="L78" s="22"/>
      <c r="M78" s="22"/>
    </row>
    <row r="79">
      <c r="K79" s="21"/>
      <c r="L79" s="21"/>
      <c r="M79" s="22"/>
    </row>
    <row r="80">
      <c r="K80" s="22"/>
      <c r="L80" s="22"/>
      <c r="M80" s="22"/>
    </row>
    <row r="81">
      <c r="K81" s="22"/>
      <c r="L81" s="22"/>
      <c r="M81" s="22"/>
    </row>
    <row r="82">
      <c r="K82" s="22"/>
      <c r="L82" s="22"/>
      <c r="M82" s="22"/>
    </row>
    <row r="83">
      <c r="K83" s="21"/>
      <c r="L83" s="21"/>
      <c r="M83" s="22"/>
    </row>
    <row r="84">
      <c r="K84" s="22"/>
      <c r="L84" s="22"/>
      <c r="M84" s="22"/>
    </row>
    <row r="85">
      <c r="K85" s="21"/>
      <c r="L85" s="21"/>
      <c r="M85" s="22"/>
    </row>
    <row r="86">
      <c r="K86" s="22"/>
      <c r="L86" s="22"/>
      <c r="M86" s="22"/>
    </row>
    <row r="87">
      <c r="K87" s="21"/>
      <c r="L87" s="21"/>
      <c r="M87" s="22"/>
    </row>
    <row r="88">
      <c r="K88" s="21"/>
      <c r="L88" s="21"/>
      <c r="M88" s="22"/>
    </row>
    <row r="89">
      <c r="K89" s="21"/>
      <c r="L89" s="21"/>
      <c r="M89" s="22"/>
    </row>
    <row r="90">
      <c r="K90" s="21"/>
      <c r="L90" s="21"/>
      <c r="M90" s="22"/>
    </row>
    <row r="91">
      <c r="K91" s="22"/>
      <c r="L91" s="22"/>
      <c r="M91" s="22"/>
    </row>
    <row r="92">
      <c r="K92" s="22"/>
      <c r="L92" s="22"/>
      <c r="M92" s="22"/>
    </row>
    <row r="93">
      <c r="K93" s="21"/>
      <c r="L93" s="21"/>
      <c r="M93" s="22"/>
    </row>
    <row r="94">
      <c r="K94" s="22"/>
      <c r="L94" s="22"/>
      <c r="M94" s="22"/>
    </row>
    <row r="95">
      <c r="K95" s="21"/>
      <c r="L95" s="21"/>
      <c r="M95" s="22"/>
    </row>
    <row r="96">
      <c r="K96" s="22"/>
      <c r="L96" s="22"/>
      <c r="M96" s="22"/>
    </row>
    <row r="97">
      <c r="K97" s="22"/>
      <c r="L97" s="22"/>
      <c r="M97" s="22"/>
    </row>
    <row r="98">
      <c r="K98" s="21"/>
      <c r="L98" s="21"/>
      <c r="M98" s="22"/>
    </row>
    <row r="99">
      <c r="K99" s="22"/>
      <c r="L99" s="22"/>
      <c r="M99" s="22"/>
    </row>
    <row r="100">
      <c r="K100" s="22"/>
      <c r="L100" s="22"/>
      <c r="M100" s="22"/>
    </row>
    <row r="101">
      <c r="K101" s="22"/>
      <c r="L101" s="22"/>
      <c r="M101" s="22"/>
    </row>
    <row r="102">
      <c r="K102" s="22"/>
      <c r="L102" s="22"/>
      <c r="M102" s="22"/>
    </row>
    <row r="103">
      <c r="K103" s="21"/>
      <c r="L103" s="21"/>
      <c r="M103" s="22"/>
    </row>
    <row r="104">
      <c r="K104" s="22"/>
      <c r="L104" s="22"/>
      <c r="M104" s="22"/>
    </row>
    <row r="105">
      <c r="K105" s="22"/>
      <c r="L105" s="22"/>
      <c r="M105" s="22"/>
    </row>
    <row r="106">
      <c r="K106" s="22"/>
      <c r="L106" s="22"/>
      <c r="M106" s="22"/>
    </row>
    <row r="107">
      <c r="K107" s="22"/>
      <c r="L107" s="22"/>
      <c r="M107" s="22"/>
    </row>
    <row r="108">
      <c r="K108" s="22"/>
      <c r="L108" s="22"/>
      <c r="M108" s="22"/>
    </row>
    <row r="109">
      <c r="K109" s="22"/>
      <c r="L109" s="22"/>
      <c r="M109" s="22"/>
    </row>
    <row r="110">
      <c r="K110" s="22"/>
      <c r="L110" s="22"/>
      <c r="M110" s="22"/>
    </row>
    <row r="111">
      <c r="K111" s="22"/>
      <c r="L111" s="22"/>
      <c r="M111" s="22"/>
    </row>
    <row r="112">
      <c r="K112" s="22"/>
      <c r="L112" s="22"/>
      <c r="M112" s="22"/>
    </row>
  </sheetData>
  <conditionalFormatting sqref="M69">
    <cfRule type="expression" dxfId="0" priority="1">
      <formula>$U29 &gt; 1.5</formula>
    </cfRule>
  </conditionalFormatting>
  <conditionalFormatting sqref="M65">
    <cfRule type="expression" dxfId="1" priority="2">
      <formula>$U12 &gt; 0.5</formula>
    </cfRule>
  </conditionalFormatting>
  <conditionalFormatting sqref="M68">
    <cfRule type="expression" dxfId="0" priority="3">
      <formula>$U23 &gt; 1.5</formula>
    </cfRule>
  </conditionalFormatting>
  <conditionalFormatting sqref="M67">
    <cfRule type="expression" dxfId="1" priority="4">
      <formula>$U23 &gt; 0.5</formula>
    </cfRule>
  </conditionalFormatting>
  <conditionalFormatting sqref="M4:M30">
    <cfRule type="expression" dxfId="1" priority="5">
      <formula>AND($N4 = 1,$V4&lt;2)</formula>
    </cfRule>
  </conditionalFormatting>
  <conditionalFormatting sqref="M4:M30">
    <cfRule type="expression" dxfId="2" priority="6">
      <formula>AND($O4 = 1,$V4&lt;2)</formula>
    </cfRule>
  </conditionalFormatting>
  <conditionalFormatting sqref="M4:M30">
    <cfRule type="expression" dxfId="3" priority="7">
      <formula>AND($P4 = 1,$V4&lt;2)</formula>
    </cfRule>
  </conditionalFormatting>
  <conditionalFormatting sqref="M4:M30">
    <cfRule type="expression" dxfId="4" priority="8">
      <formula>AND($Q4 = 1,$V4&lt;2)</formula>
    </cfRule>
  </conditionalFormatting>
  <conditionalFormatting sqref="M4:M30">
    <cfRule type="expression" dxfId="5" priority="9">
      <formula>AND($R4 = 1,$V4&lt;2)</formula>
    </cfRule>
  </conditionalFormatting>
  <conditionalFormatting sqref="M4:M30">
    <cfRule type="expression" dxfId="6" priority="10">
      <formula>AND($S4 = 1,$V4&lt;2)</formula>
    </cfRule>
  </conditionalFormatting>
  <conditionalFormatting sqref="M4:M30">
    <cfRule type="expression" dxfId="7" priority="11">
      <formula>AND($T4 = 1,$V4&lt;2)</formula>
    </cfRule>
  </conditionalFormatting>
  <conditionalFormatting sqref="M34:M60">
    <cfRule type="expression" dxfId="1" priority="12">
      <formula>AND($N4 = 1,$V4&gt;1)</formula>
    </cfRule>
  </conditionalFormatting>
  <conditionalFormatting sqref="M34:M60">
    <cfRule type="expression" dxfId="2" priority="13">
      <formula>AND($O4 = 1,$V4&gt;1)</formula>
    </cfRule>
  </conditionalFormatting>
  <conditionalFormatting sqref="M34:M60">
    <cfRule type="expression" dxfId="3" priority="14">
      <formula>AND($P4 = 1,$V4&gt;1)</formula>
    </cfRule>
  </conditionalFormatting>
  <conditionalFormatting sqref="M34:M60">
    <cfRule type="expression" dxfId="4" priority="15">
      <formula>AND($Q4 = 1,$V4&gt;1)</formula>
    </cfRule>
  </conditionalFormatting>
  <conditionalFormatting sqref="M34:M60">
    <cfRule type="expression" dxfId="5" priority="16">
      <formula>AND($R4 = 1,$V4&gt;1)</formula>
    </cfRule>
  </conditionalFormatting>
  <conditionalFormatting sqref="M34:M60">
    <cfRule type="expression" dxfId="6" priority="17">
      <formula>AND($S4 = 1,$V4&gt;1)</formula>
    </cfRule>
  </conditionalFormatting>
  <conditionalFormatting sqref="M34:M60">
    <cfRule type="expression" dxfId="7" priority="18">
      <formula>AND($T4 = 1,$V4&gt;1)</formula>
    </cfRule>
  </conditionalFormatting>
  <conditionalFormatting sqref="C4:C16 C18:C30 C48:C60 C34:C46">
    <cfRule type="containsText" dxfId="8" priority="19" operator="containsText" text="(*/*)">
      <formula>NOT(ISERROR(SEARCH(("(*/*)"),(C4))))</formula>
    </cfRule>
  </conditionalFormatting>
  <conditionalFormatting sqref="C4:C16 C18:C30 C48:C60 C34:C46">
    <cfRule type="containsText" dxfId="2" priority="20" operator="containsText" text="(*O)">
      <formula>NOT(ISERROR(SEARCH(("(*O)"),(C4))))</formula>
    </cfRule>
  </conditionalFormatting>
  <conditionalFormatting sqref="C4:C16 C18:C30 C48:C60 C34:C46">
    <cfRule type="containsText" dxfId="9" priority="21" operator="containsText" text="(*D)">
      <formula>NOT(ISERROR(SEARCH(("(*D)"),(C4))))</formula>
    </cfRule>
  </conditionalFormatting>
  <dataValidations>
    <dataValidation type="list" allowBlank="1" showDropDown="1" sqref="O32">
      <formula1>$N$3:$T$3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C2" s="19" t="s">
        <v>59</v>
      </c>
      <c r="D2" s="19" t="s">
        <v>60</v>
      </c>
      <c r="E2" s="19" t="s">
        <v>61</v>
      </c>
    </row>
    <row r="3">
      <c r="B3" s="19" t="s">
        <v>62</v>
      </c>
      <c r="C3" s="19">
        <v>32.0</v>
      </c>
      <c r="D3" s="19">
        <v>16.0</v>
      </c>
      <c r="E3" s="19">
        <v>44.0</v>
      </c>
      <c r="F3" s="19">
        <f t="shared" ref="F3:F24" si="1">SUM(C3:E3)</f>
        <v>92</v>
      </c>
      <c r="G3" s="19" t="s">
        <v>63</v>
      </c>
    </row>
    <row r="4">
      <c r="B4" s="19" t="s">
        <v>64</v>
      </c>
      <c r="C4" s="19">
        <v>31.0</v>
      </c>
      <c r="D4" s="19">
        <v>35.0</v>
      </c>
      <c r="E4" s="19">
        <v>43.0</v>
      </c>
      <c r="F4" s="19">
        <f t="shared" si="1"/>
        <v>109</v>
      </c>
    </row>
    <row r="5">
      <c r="B5" s="19" t="s">
        <v>65</v>
      </c>
      <c r="C5" s="19">
        <v>32.0</v>
      </c>
      <c r="D5" s="19">
        <v>32.0</v>
      </c>
      <c r="E5" s="19">
        <v>45.0</v>
      </c>
      <c r="F5" s="19">
        <f t="shared" si="1"/>
        <v>109</v>
      </c>
      <c r="G5" s="19" t="s">
        <v>66</v>
      </c>
    </row>
    <row r="6">
      <c r="B6" s="19" t="s">
        <v>67</v>
      </c>
      <c r="C6" s="19">
        <v>32.0</v>
      </c>
      <c r="D6" s="19">
        <v>30.0</v>
      </c>
      <c r="E6" s="19">
        <v>44.0</v>
      </c>
      <c r="F6" s="19">
        <f t="shared" si="1"/>
        <v>106</v>
      </c>
      <c r="G6" s="19" t="s">
        <v>68</v>
      </c>
    </row>
    <row r="7">
      <c r="B7" s="19" t="s">
        <v>69</v>
      </c>
      <c r="C7" s="19">
        <v>31.0</v>
      </c>
      <c r="D7" s="19">
        <v>35.0</v>
      </c>
      <c r="E7" s="19">
        <v>44.0</v>
      </c>
      <c r="F7" s="19">
        <f t="shared" si="1"/>
        <v>110</v>
      </c>
    </row>
    <row r="8">
      <c r="B8" s="19" t="s">
        <v>70</v>
      </c>
      <c r="C8" s="19">
        <v>31.0</v>
      </c>
      <c r="D8" s="19">
        <v>35.0</v>
      </c>
      <c r="E8" s="19">
        <v>40.0</v>
      </c>
      <c r="F8" s="19">
        <f t="shared" si="1"/>
        <v>106</v>
      </c>
      <c r="G8" s="19" t="s">
        <v>71</v>
      </c>
    </row>
    <row r="9">
      <c r="B9" s="19" t="s">
        <v>72</v>
      </c>
      <c r="C9" s="19">
        <v>32.0</v>
      </c>
      <c r="D9" s="19">
        <v>34.0</v>
      </c>
      <c r="E9" s="19">
        <v>4.0</v>
      </c>
      <c r="F9" s="19">
        <f t="shared" si="1"/>
        <v>70</v>
      </c>
      <c r="G9" s="19" t="s">
        <v>73</v>
      </c>
    </row>
    <row r="10">
      <c r="B10" s="19" t="s">
        <v>74</v>
      </c>
      <c r="C10" s="19">
        <v>32.0</v>
      </c>
      <c r="D10" s="19">
        <v>35.0</v>
      </c>
      <c r="E10" s="19">
        <v>43.0</v>
      </c>
      <c r="F10" s="19">
        <f t="shared" si="1"/>
        <v>110</v>
      </c>
    </row>
    <row r="11">
      <c r="B11" s="19" t="s">
        <v>75</v>
      </c>
      <c r="C11" s="19">
        <v>31.0</v>
      </c>
      <c r="D11" s="19">
        <v>35.0</v>
      </c>
      <c r="E11" s="19">
        <v>44.0</v>
      </c>
      <c r="F11" s="19">
        <f t="shared" si="1"/>
        <v>110</v>
      </c>
    </row>
    <row r="12">
      <c r="B12" s="19" t="s">
        <v>76</v>
      </c>
      <c r="C12" s="19">
        <v>19.0</v>
      </c>
      <c r="D12" s="19">
        <v>35.0</v>
      </c>
      <c r="E12" s="19">
        <v>40.0</v>
      </c>
      <c r="F12" s="19">
        <f t="shared" si="1"/>
        <v>94</v>
      </c>
      <c r="G12" s="19" t="s">
        <v>77</v>
      </c>
    </row>
    <row r="13">
      <c r="B13" s="19" t="s">
        <v>78</v>
      </c>
      <c r="C13" s="19">
        <v>18.0</v>
      </c>
      <c r="D13" s="19">
        <v>35.0</v>
      </c>
      <c r="E13" s="19">
        <v>44.0</v>
      </c>
      <c r="F13" s="19">
        <f t="shared" si="1"/>
        <v>97</v>
      </c>
      <c r="G13" s="19" t="s">
        <v>79</v>
      </c>
    </row>
    <row r="14">
      <c r="B14" s="19" t="s">
        <v>80</v>
      </c>
      <c r="C14" s="19">
        <v>0.0</v>
      </c>
      <c r="D14" s="19">
        <v>36.0</v>
      </c>
      <c r="E14" s="19">
        <v>42.0</v>
      </c>
      <c r="F14" s="19">
        <f t="shared" si="1"/>
        <v>78</v>
      </c>
      <c r="G14" s="19" t="s">
        <v>81</v>
      </c>
    </row>
    <row r="15">
      <c r="B15" s="19" t="s">
        <v>82</v>
      </c>
      <c r="C15" s="19">
        <v>31.0</v>
      </c>
      <c r="D15" s="19">
        <v>31.0</v>
      </c>
      <c r="E15" s="19">
        <v>42.0</v>
      </c>
      <c r="F15" s="19">
        <f t="shared" si="1"/>
        <v>104</v>
      </c>
      <c r="G15" s="19" t="s">
        <v>68</v>
      </c>
    </row>
    <row r="16">
      <c r="B16" s="19" t="s">
        <v>83</v>
      </c>
      <c r="C16" s="19">
        <v>31.0</v>
      </c>
      <c r="D16" s="19">
        <v>37.0</v>
      </c>
      <c r="E16" s="19">
        <v>43.0</v>
      </c>
      <c r="F16" s="19">
        <f t="shared" si="1"/>
        <v>111</v>
      </c>
    </row>
    <row r="17">
      <c r="B17" s="19" t="s">
        <v>84</v>
      </c>
      <c r="C17" s="19">
        <v>32.0</v>
      </c>
      <c r="D17" s="19">
        <v>36.0</v>
      </c>
      <c r="E17" s="19">
        <v>43.0</v>
      </c>
      <c r="F17" s="19">
        <f t="shared" si="1"/>
        <v>111</v>
      </c>
    </row>
    <row r="18">
      <c r="B18" s="19" t="s">
        <v>85</v>
      </c>
      <c r="C18" s="19">
        <v>24.0</v>
      </c>
      <c r="D18" s="19">
        <v>0.0</v>
      </c>
      <c r="E18" s="19">
        <v>43.0</v>
      </c>
      <c r="F18" s="19">
        <f t="shared" si="1"/>
        <v>67</v>
      </c>
      <c r="G18" s="19" t="s">
        <v>86</v>
      </c>
    </row>
    <row r="19">
      <c r="B19" s="19" t="s">
        <v>87</v>
      </c>
      <c r="C19" s="19">
        <v>31.0</v>
      </c>
      <c r="D19" s="19">
        <v>36.0</v>
      </c>
      <c r="E19" s="19">
        <v>40.0</v>
      </c>
      <c r="F19" s="19">
        <f t="shared" si="1"/>
        <v>107</v>
      </c>
      <c r="G19" s="19" t="s">
        <v>88</v>
      </c>
    </row>
    <row r="20">
      <c r="B20" s="19" t="s">
        <v>89</v>
      </c>
      <c r="C20" s="19">
        <v>31.0</v>
      </c>
      <c r="D20" s="19">
        <v>36.0</v>
      </c>
      <c r="E20" s="19">
        <v>39.0</v>
      </c>
      <c r="F20" s="19">
        <f t="shared" si="1"/>
        <v>106</v>
      </c>
      <c r="G20" s="19" t="s">
        <v>88</v>
      </c>
    </row>
    <row r="21">
      <c r="B21" s="19" t="s">
        <v>90</v>
      </c>
      <c r="C21" s="19">
        <v>16.0</v>
      </c>
      <c r="D21" s="19">
        <v>0.0</v>
      </c>
      <c r="E21" s="19">
        <v>42.0</v>
      </c>
      <c r="F21" s="19">
        <f t="shared" si="1"/>
        <v>58</v>
      </c>
      <c r="G21" s="19" t="s">
        <v>91</v>
      </c>
    </row>
    <row r="22">
      <c r="B22" s="19" t="s">
        <v>92</v>
      </c>
      <c r="C22" s="19">
        <v>31.0</v>
      </c>
      <c r="D22" s="19">
        <v>37.0</v>
      </c>
      <c r="E22" s="19">
        <v>43.0</v>
      </c>
      <c r="F22" s="19">
        <f t="shared" si="1"/>
        <v>111</v>
      </c>
    </row>
    <row r="23">
      <c r="B23" s="19" t="s">
        <v>93</v>
      </c>
      <c r="C23" s="19">
        <v>31.0</v>
      </c>
      <c r="D23" s="19">
        <v>37.0</v>
      </c>
      <c r="E23" s="19">
        <v>43.0</v>
      </c>
      <c r="F23" s="19">
        <f t="shared" si="1"/>
        <v>111</v>
      </c>
    </row>
    <row r="24">
      <c r="B24" s="19" t="s">
        <v>94</v>
      </c>
      <c r="C24" s="19">
        <v>0.0</v>
      </c>
      <c r="D24" s="19">
        <v>37.0</v>
      </c>
      <c r="E24" s="19">
        <v>43.0</v>
      </c>
      <c r="F24" s="19">
        <f t="shared" si="1"/>
        <v>80</v>
      </c>
      <c r="G24" s="19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9.71"/>
    <col customWidth="1" min="4" max="5" width="8.71"/>
    <col customWidth="1" min="6" max="6" width="9.71"/>
    <col customWidth="1" min="7" max="30" width="8.71"/>
    <col customWidth="1" min="31" max="32" width="11.43"/>
    <col customWidth="1" min="33" max="36" width="8.71"/>
  </cols>
  <sheetData>
    <row r="1">
      <c r="C1" s="16"/>
      <c r="D1" s="19"/>
      <c r="F1" s="16"/>
    </row>
    <row r="2">
      <c r="C2" s="16" t="s">
        <v>95</v>
      </c>
      <c r="D2" s="23"/>
      <c r="F2" s="16" t="s">
        <v>96</v>
      </c>
      <c r="G2" s="23"/>
      <c r="J2" s="16" t="s">
        <v>97</v>
      </c>
      <c r="K2" s="6" t="str">
        <f>IF(ISBLANK(D2),"",IF(D2="Offense","D","O"))</f>
        <v/>
      </c>
      <c r="N2" s="16" t="s">
        <v>98</v>
      </c>
      <c r="O2" s="23">
        <v>8.0</v>
      </c>
      <c r="R2" s="16"/>
    </row>
    <row r="3">
      <c r="C3" s="16" t="s">
        <v>99</v>
      </c>
      <c r="D3" s="24">
        <v>4.0</v>
      </c>
      <c r="E3" s="19">
        <f t="shared" ref="E3:F3" si="1">IF($D$3=4,3,4)</f>
        <v>3</v>
      </c>
      <c r="F3" s="19">
        <f t="shared" si="1"/>
        <v>3</v>
      </c>
      <c r="G3" s="19">
        <f t="shared" ref="G3:H3" si="2">IF($D$3=4,4,3)</f>
        <v>4</v>
      </c>
      <c r="H3" s="19">
        <f t="shared" si="2"/>
        <v>4</v>
      </c>
      <c r="I3" s="19">
        <f t="shared" ref="I3:J3" si="3">IF($D$3=4,3,4)</f>
        <v>3</v>
      </c>
      <c r="J3" s="19">
        <f t="shared" si="3"/>
        <v>3</v>
      </c>
      <c r="K3" s="19">
        <f t="shared" ref="K3:L3" si="4">IF($D$3=4,4,3)</f>
        <v>4</v>
      </c>
      <c r="L3" s="19">
        <f t="shared" si="4"/>
        <v>4</v>
      </c>
      <c r="M3" s="19">
        <f t="shared" ref="M3:N3" si="5">IF($D$3=4,3,4)</f>
        <v>3</v>
      </c>
      <c r="N3" s="19">
        <f t="shared" si="5"/>
        <v>3</v>
      </c>
      <c r="O3" s="19">
        <f t="shared" ref="O3:P3" si="6">IF($D$3=4,4,3)</f>
        <v>4</v>
      </c>
      <c r="P3" s="19">
        <f t="shared" si="6"/>
        <v>4</v>
      </c>
      <c r="Q3" s="19">
        <f t="shared" ref="Q3:R3" si="7">IF($D$3=4,3,4)</f>
        <v>3</v>
      </c>
      <c r="R3" s="19">
        <f t="shared" si="7"/>
        <v>3</v>
      </c>
      <c r="S3" s="19">
        <f t="shared" ref="S3:T3" si="8">IF($D$3=4,4,3)</f>
        <v>4</v>
      </c>
      <c r="T3" s="19">
        <f t="shared" si="8"/>
        <v>4</v>
      </c>
      <c r="U3" s="19">
        <f t="shared" ref="U3:V3" si="9">IF($D$3=4,3,4)</f>
        <v>3</v>
      </c>
      <c r="V3" s="19">
        <f t="shared" si="9"/>
        <v>3</v>
      </c>
      <c r="W3" s="19">
        <f t="shared" ref="W3:X3" si="10">IF($D$3=4,4,3)</f>
        <v>4</v>
      </c>
      <c r="X3" s="19">
        <f t="shared" si="10"/>
        <v>4</v>
      </c>
      <c r="Y3" s="19">
        <f t="shared" ref="Y3:Z3" si="11">IF($D$3=4,3,4)</f>
        <v>3</v>
      </c>
      <c r="Z3" s="19">
        <f t="shared" si="11"/>
        <v>3</v>
      </c>
      <c r="AA3" s="19">
        <f t="shared" ref="AA3:AB3" si="12">IF($D$3=4,4,3)</f>
        <v>4</v>
      </c>
      <c r="AB3" s="19">
        <f t="shared" si="12"/>
        <v>4</v>
      </c>
      <c r="AC3" s="19">
        <f t="shared" ref="AC3:AD3" si="13">IF($D$3=4,3,4)</f>
        <v>3</v>
      </c>
      <c r="AD3" s="19">
        <f t="shared" si="13"/>
        <v>3</v>
      </c>
    </row>
    <row r="4">
      <c r="C4" s="16" t="s">
        <v>100</v>
      </c>
      <c r="D4" s="19">
        <f>IF($D$3=3,4,3)</f>
        <v>3</v>
      </c>
      <c r="E4" s="19">
        <f t="shared" ref="E4:F4" si="14">IF($D$4=3,4,3)</f>
        <v>4</v>
      </c>
      <c r="F4" s="19">
        <f t="shared" si="14"/>
        <v>4</v>
      </c>
      <c r="G4" s="19">
        <f t="shared" ref="G4:H4" si="15">IF($D$4=3,3,4)</f>
        <v>3</v>
      </c>
      <c r="H4" s="19">
        <f t="shared" si="15"/>
        <v>3</v>
      </c>
      <c r="I4" s="19">
        <f t="shared" ref="I4:J4" si="16">IF($D$4=3,4,3)</f>
        <v>4</v>
      </c>
      <c r="J4" s="19">
        <f t="shared" si="16"/>
        <v>4</v>
      </c>
      <c r="K4" s="19">
        <f t="shared" ref="K4:L4" si="17">IF($D$4=3,3,4)</f>
        <v>3</v>
      </c>
      <c r="L4" s="19">
        <f t="shared" si="17"/>
        <v>3</v>
      </c>
      <c r="M4" s="19">
        <f t="shared" ref="M4:N4" si="18">IF($D$4=3,4,3)</f>
        <v>4</v>
      </c>
      <c r="N4" s="19">
        <f t="shared" si="18"/>
        <v>4</v>
      </c>
      <c r="O4" s="19">
        <f t="shared" ref="O4:P4" si="19">IF($D$4=3,3,4)</f>
        <v>3</v>
      </c>
      <c r="P4" s="19">
        <f t="shared" si="19"/>
        <v>3</v>
      </c>
      <c r="Q4" s="19">
        <f t="shared" ref="Q4:R4" si="20">IF($D$4=3,4,3)</f>
        <v>4</v>
      </c>
      <c r="R4" s="19">
        <f t="shared" si="20"/>
        <v>4</v>
      </c>
      <c r="S4" s="19">
        <f t="shared" ref="S4:T4" si="21">IF($D$4=3,3,4)</f>
        <v>3</v>
      </c>
      <c r="T4" s="19">
        <f t="shared" si="21"/>
        <v>3</v>
      </c>
      <c r="U4" s="19">
        <f t="shared" ref="U4:V4" si="22">IF($D$4=3,4,3)</f>
        <v>4</v>
      </c>
      <c r="V4" s="19">
        <f t="shared" si="22"/>
        <v>4</v>
      </c>
      <c r="W4" s="19">
        <f t="shared" ref="W4:X4" si="23">IF($D$4=3,3,4)</f>
        <v>3</v>
      </c>
      <c r="X4" s="19">
        <f t="shared" si="23"/>
        <v>3</v>
      </c>
      <c r="Y4" s="19">
        <f t="shared" ref="Y4:Z4" si="24">IF($D$4=3,4,3)</f>
        <v>4</v>
      </c>
      <c r="Z4" s="19">
        <f t="shared" si="24"/>
        <v>4</v>
      </c>
      <c r="AA4" s="19">
        <f t="shared" ref="AA4:AB4" si="25">IF($D$4=3,3,4)</f>
        <v>3</v>
      </c>
      <c r="AB4" s="19">
        <f t="shared" si="25"/>
        <v>3</v>
      </c>
      <c r="AC4" s="19">
        <f t="shared" ref="AC4:AD4" si="26">IF($D$4=3,4,3)</f>
        <v>4</v>
      </c>
      <c r="AD4" s="19">
        <f t="shared" si="26"/>
        <v>4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/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>SUM(D9:AE9)</f>
        <v>0</v>
      </c>
      <c r="AG9" s="19">
        <f t="shared" ref="AG9:AG21" si="31">SUMIF($D$6:$AD$6,"=O",D9:AD9)</f>
        <v>0</v>
      </c>
      <c r="AH9" s="19">
        <f t="shared" ref="AH9:AH21" si="32">SUMIF($D$6:$AD$6,"=D",D9:AD9)</f>
        <v>0</v>
      </c>
      <c r="AI9" s="19">
        <f t="shared" ref="AI9:AI21" si="33">SUMPRODUCT(D9:AD9,$D$45:$AD$45)</f>
        <v>0</v>
      </c>
      <c r="AJ9" s="19">
        <f t="shared" ref="AJ9:AJ21" si="34">SUMPRODUCT(D9:AD9,$D$46:$AD$46)</f>
        <v>0</v>
      </c>
    </row>
    <row r="10">
      <c r="A10" s="6">
        <f t="shared" si="30"/>
        <v>0</v>
      </c>
      <c r="B10" s="5"/>
      <c r="C10" s="5" t="str">
        <f>Tourn_Summary!C5</f>
        <v>MMP 2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ref="AF10:AF11" si="35">SUM(D10:AD10)</f>
        <v>0</v>
      </c>
      <c r="AG10" s="19">
        <f t="shared" si="31"/>
        <v>0</v>
      </c>
      <c r="AH10" s="19">
        <f t="shared" si="32"/>
        <v>0</v>
      </c>
      <c r="AI10" s="19">
        <f t="shared" si="33"/>
        <v>0</v>
      </c>
      <c r="AJ10" s="19">
        <f t="shared" si="34"/>
        <v>0</v>
      </c>
    </row>
    <row r="11">
      <c r="A11" s="6">
        <f t="shared" si="30"/>
        <v>0</v>
      </c>
      <c r="B11" s="5"/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5"/>
        <v>0</v>
      </c>
      <c r="AG11" s="19">
        <f t="shared" si="31"/>
        <v>0</v>
      </c>
      <c r="AH11" s="19">
        <f t="shared" si="32"/>
        <v>0</v>
      </c>
      <c r="AI11" s="19">
        <f t="shared" si="33"/>
        <v>0</v>
      </c>
      <c r="AJ11" s="19">
        <f t="shared" si="34"/>
        <v>0</v>
      </c>
    </row>
    <row r="12">
      <c r="A12" s="6">
        <f t="shared" si="30"/>
        <v>0</v>
      </c>
      <c r="B12" s="5"/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>SUM(D12:AE12)</f>
        <v>0</v>
      </c>
      <c r="AG12" s="19">
        <f t="shared" si="31"/>
        <v>0</v>
      </c>
      <c r="AH12" s="19">
        <f t="shared" si="32"/>
        <v>0</v>
      </c>
      <c r="AI12" s="19">
        <f t="shared" si="33"/>
        <v>0</v>
      </c>
      <c r="AJ12" s="19">
        <f t="shared" si="34"/>
        <v>0</v>
      </c>
    </row>
    <row r="13">
      <c r="A13" s="6">
        <f t="shared" si="30"/>
        <v>0</v>
      </c>
      <c r="B13" s="5"/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ref="AF13:AF21" si="36">SUM(D13:AD13)</f>
        <v>0</v>
      </c>
      <c r="AG13" s="19">
        <f t="shared" si="31"/>
        <v>0</v>
      </c>
      <c r="AH13" s="19">
        <f t="shared" si="32"/>
        <v>0</v>
      </c>
      <c r="AI13" s="19">
        <f t="shared" si="33"/>
        <v>0</v>
      </c>
      <c r="AJ13" s="19">
        <f t="shared" si="34"/>
        <v>0</v>
      </c>
    </row>
    <row r="14">
      <c r="A14" s="6">
        <f t="shared" si="30"/>
        <v>0</v>
      </c>
      <c r="B14" s="5"/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6"/>
        <v>0</v>
      </c>
      <c r="AG14" s="19">
        <f t="shared" si="31"/>
        <v>0</v>
      </c>
      <c r="AH14" s="19">
        <f t="shared" si="32"/>
        <v>0</v>
      </c>
      <c r="AI14" s="19">
        <f t="shared" si="33"/>
        <v>0</v>
      </c>
      <c r="AJ14" s="19">
        <f t="shared" si="34"/>
        <v>0</v>
      </c>
    </row>
    <row r="15">
      <c r="A15" s="6">
        <f t="shared" si="30"/>
        <v>0</v>
      </c>
      <c r="B15" s="5"/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6"/>
        <v>0</v>
      </c>
      <c r="AG15" s="19">
        <f t="shared" si="31"/>
        <v>0</v>
      </c>
      <c r="AH15" s="19">
        <f t="shared" si="32"/>
        <v>0</v>
      </c>
      <c r="AI15" s="19">
        <f t="shared" si="33"/>
        <v>0</v>
      </c>
      <c r="AJ15" s="19">
        <f t="shared" si="34"/>
        <v>0</v>
      </c>
    </row>
    <row r="16">
      <c r="A16" s="6">
        <f t="shared" si="30"/>
        <v>0</v>
      </c>
      <c r="B16" s="5"/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6"/>
        <v>0</v>
      </c>
      <c r="AG16" s="19">
        <f t="shared" si="31"/>
        <v>0</v>
      </c>
      <c r="AH16" s="19">
        <f t="shared" si="32"/>
        <v>0</v>
      </c>
      <c r="AI16" s="19">
        <f t="shared" si="33"/>
        <v>0</v>
      </c>
      <c r="AJ16" s="19">
        <f t="shared" si="34"/>
        <v>0</v>
      </c>
    </row>
    <row r="17">
      <c r="A17" s="6">
        <f t="shared" si="30"/>
        <v>0</v>
      </c>
      <c r="B17" s="5"/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6"/>
        <v>0</v>
      </c>
      <c r="AG17" s="19">
        <f t="shared" si="31"/>
        <v>0</v>
      </c>
      <c r="AH17" s="19">
        <f t="shared" si="32"/>
        <v>0</v>
      </c>
      <c r="AI17" s="19">
        <f t="shared" si="33"/>
        <v>0</v>
      </c>
      <c r="AJ17" s="19">
        <f t="shared" si="34"/>
        <v>0</v>
      </c>
    </row>
    <row r="18">
      <c r="A18" s="6">
        <f t="shared" si="30"/>
        <v>0</v>
      </c>
      <c r="B18" s="5"/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6"/>
        <v>0</v>
      </c>
      <c r="AG18" s="19">
        <f t="shared" si="31"/>
        <v>0</v>
      </c>
      <c r="AH18" s="19">
        <f t="shared" si="32"/>
        <v>0</v>
      </c>
      <c r="AI18" s="19">
        <f t="shared" si="33"/>
        <v>0</v>
      </c>
      <c r="AJ18" s="19">
        <f t="shared" si="34"/>
        <v>0</v>
      </c>
    </row>
    <row r="19">
      <c r="A19" s="6">
        <f t="shared" si="30"/>
        <v>0</v>
      </c>
      <c r="B19" s="5"/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6"/>
        <v>0</v>
      </c>
      <c r="AG19" s="19">
        <f t="shared" si="31"/>
        <v>0</v>
      </c>
      <c r="AH19" s="19">
        <f t="shared" si="32"/>
        <v>0</v>
      </c>
      <c r="AI19" s="19">
        <f t="shared" si="33"/>
        <v>0</v>
      </c>
      <c r="AJ19" s="19">
        <f t="shared" si="34"/>
        <v>0</v>
      </c>
    </row>
    <row r="20">
      <c r="A20" s="6">
        <f t="shared" si="30"/>
        <v>0</v>
      </c>
      <c r="B20" s="5"/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6"/>
        <v>0</v>
      </c>
      <c r="AG20" s="19">
        <f t="shared" si="31"/>
        <v>0</v>
      </c>
      <c r="AH20" s="19">
        <f t="shared" si="32"/>
        <v>0</v>
      </c>
      <c r="AI20" s="19">
        <f t="shared" si="33"/>
        <v>0</v>
      </c>
      <c r="AJ20" s="19">
        <f t="shared" si="34"/>
        <v>0</v>
      </c>
    </row>
    <row r="21">
      <c r="A21" s="6">
        <f t="shared" si="30"/>
        <v>0</v>
      </c>
      <c r="B21" s="5"/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6"/>
        <v>0</v>
      </c>
      <c r="AG21" s="19">
        <f t="shared" si="31"/>
        <v>0</v>
      </c>
      <c r="AH21" s="19">
        <f t="shared" si="32"/>
        <v>0</v>
      </c>
      <c r="AI21" s="19">
        <f t="shared" si="33"/>
        <v>0</v>
      </c>
      <c r="AJ21" s="19">
        <f t="shared" si="34"/>
        <v>0</v>
      </c>
    </row>
    <row r="22">
      <c r="A22" s="28"/>
      <c r="B22" s="28"/>
      <c r="C22" s="25" t="s">
        <v>17</v>
      </c>
      <c r="D22" s="28">
        <f t="shared" ref="D22:AD22" si="37">SUM(D9:D21)</f>
        <v>0</v>
      </c>
      <c r="E22" s="28">
        <f t="shared" si="37"/>
        <v>0</v>
      </c>
      <c r="F22" s="28">
        <f t="shared" si="37"/>
        <v>0</v>
      </c>
      <c r="G22" s="28">
        <f t="shared" si="37"/>
        <v>0</v>
      </c>
      <c r="H22" s="28">
        <f t="shared" si="37"/>
        <v>0</v>
      </c>
      <c r="I22" s="28">
        <f t="shared" si="37"/>
        <v>0</v>
      </c>
      <c r="J22" s="28">
        <f t="shared" si="37"/>
        <v>0</v>
      </c>
      <c r="K22" s="28">
        <f t="shared" si="37"/>
        <v>0</v>
      </c>
      <c r="L22" s="28">
        <f t="shared" si="37"/>
        <v>0</v>
      </c>
      <c r="M22" s="28">
        <f t="shared" si="37"/>
        <v>0</v>
      </c>
      <c r="N22" s="28">
        <f t="shared" si="37"/>
        <v>0</v>
      </c>
      <c r="O22" s="28">
        <f t="shared" si="37"/>
        <v>0</v>
      </c>
      <c r="P22" s="28">
        <f t="shared" si="37"/>
        <v>0</v>
      </c>
      <c r="Q22" s="28">
        <f t="shared" si="37"/>
        <v>0</v>
      </c>
      <c r="R22" s="28">
        <f t="shared" si="37"/>
        <v>0</v>
      </c>
      <c r="S22" s="28">
        <f t="shared" si="37"/>
        <v>0</v>
      </c>
      <c r="T22" s="28">
        <f t="shared" si="37"/>
        <v>0</v>
      </c>
      <c r="U22" s="28">
        <f t="shared" si="37"/>
        <v>0</v>
      </c>
      <c r="V22" s="28">
        <f t="shared" si="37"/>
        <v>0</v>
      </c>
      <c r="W22" s="28">
        <f t="shared" si="37"/>
        <v>0</v>
      </c>
      <c r="X22" s="28">
        <f t="shared" si="37"/>
        <v>0</v>
      </c>
      <c r="Y22" s="28">
        <f t="shared" si="37"/>
        <v>0</v>
      </c>
      <c r="Z22" s="28">
        <f t="shared" si="37"/>
        <v>0</v>
      </c>
      <c r="AA22" s="28">
        <f t="shared" si="37"/>
        <v>0</v>
      </c>
      <c r="AB22" s="28">
        <f t="shared" si="37"/>
        <v>0</v>
      </c>
      <c r="AC22" s="28">
        <f t="shared" si="37"/>
        <v>0</v>
      </c>
      <c r="AD22" s="28">
        <f t="shared" si="37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8">AF25+B25</f>
        <v>0</v>
      </c>
      <c r="B25" s="5"/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9">SUM(D25:AD25)</f>
        <v>0</v>
      </c>
      <c r="AG25" s="19">
        <f t="shared" ref="AG25:AG37" si="40">SUMIF($D$6:$AD$6,"=O",D25:AD25)</f>
        <v>0</v>
      </c>
      <c r="AH25" s="19">
        <f t="shared" ref="AH25:AH37" si="41">SUMIF($D$6:$AD$6,"=D",D25:AD25)</f>
        <v>0</v>
      </c>
      <c r="AI25" s="19">
        <f t="shared" ref="AI25:AI37" si="42">SUMPRODUCT(D25:AD25,$D$45:$AD$45)</f>
        <v>0</v>
      </c>
      <c r="AJ25" s="19">
        <f t="shared" ref="AJ25:AJ37" si="43">SUMPRODUCT(D25:AD25,$D$46:$AD$46)</f>
        <v>0</v>
      </c>
    </row>
    <row r="26" ht="15.75" customHeight="1">
      <c r="A26" s="6">
        <f t="shared" si="38"/>
        <v>0</v>
      </c>
      <c r="B26" s="5"/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9"/>
        <v>0</v>
      </c>
      <c r="AG26" s="19">
        <f t="shared" si="40"/>
        <v>0</v>
      </c>
      <c r="AH26" s="19">
        <f t="shared" si="41"/>
        <v>0</v>
      </c>
      <c r="AI26" s="19">
        <f t="shared" si="42"/>
        <v>0</v>
      </c>
      <c r="AJ26" s="19">
        <f t="shared" si="43"/>
        <v>0</v>
      </c>
    </row>
    <row r="27" ht="15.75" customHeight="1">
      <c r="A27" s="6">
        <f t="shared" si="38"/>
        <v>0</v>
      </c>
      <c r="B27" s="5"/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9"/>
        <v>0</v>
      </c>
      <c r="AG27" s="19">
        <f t="shared" si="40"/>
        <v>0</v>
      </c>
      <c r="AH27" s="19">
        <f t="shared" si="41"/>
        <v>0</v>
      </c>
      <c r="AI27" s="19">
        <f t="shared" si="42"/>
        <v>0</v>
      </c>
      <c r="AJ27" s="19">
        <f t="shared" si="43"/>
        <v>0</v>
      </c>
    </row>
    <row r="28" ht="15.75" customHeight="1">
      <c r="A28" s="6">
        <f t="shared" si="38"/>
        <v>0</v>
      </c>
      <c r="B28" s="5"/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9"/>
        <v>0</v>
      </c>
      <c r="AG28" s="19">
        <f t="shared" si="40"/>
        <v>0</v>
      </c>
      <c r="AH28" s="19">
        <f t="shared" si="41"/>
        <v>0</v>
      </c>
      <c r="AI28" s="19">
        <f t="shared" si="42"/>
        <v>0</v>
      </c>
      <c r="AJ28" s="19">
        <f t="shared" si="43"/>
        <v>0</v>
      </c>
    </row>
    <row r="29" ht="15.75" customHeight="1">
      <c r="A29" s="6">
        <f t="shared" si="38"/>
        <v>0</v>
      </c>
      <c r="B29" s="5"/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9"/>
        <v>0</v>
      </c>
      <c r="AG29" s="19">
        <f t="shared" si="40"/>
        <v>0</v>
      </c>
      <c r="AH29" s="19">
        <f t="shared" si="41"/>
        <v>0</v>
      </c>
      <c r="AI29" s="19">
        <f t="shared" si="42"/>
        <v>0</v>
      </c>
      <c r="AJ29" s="19">
        <f t="shared" si="43"/>
        <v>0</v>
      </c>
    </row>
    <row r="30" ht="15.75" customHeight="1">
      <c r="A30" s="6">
        <f t="shared" si="38"/>
        <v>0</v>
      </c>
      <c r="B30" s="5"/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9"/>
        <v>0</v>
      </c>
      <c r="AG30" s="19">
        <f t="shared" si="40"/>
        <v>0</v>
      </c>
      <c r="AH30" s="19">
        <f t="shared" si="41"/>
        <v>0</v>
      </c>
      <c r="AI30" s="19">
        <f t="shared" si="42"/>
        <v>0</v>
      </c>
      <c r="AJ30" s="19">
        <f t="shared" si="43"/>
        <v>0</v>
      </c>
    </row>
    <row r="31" ht="15.75" customHeight="1">
      <c r="A31" s="6">
        <f t="shared" si="38"/>
        <v>0</v>
      </c>
      <c r="B31" s="5"/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9"/>
        <v>0</v>
      </c>
      <c r="AG31" s="19">
        <f t="shared" si="40"/>
        <v>0</v>
      </c>
      <c r="AH31" s="19">
        <f t="shared" si="41"/>
        <v>0</v>
      </c>
      <c r="AI31" s="19">
        <f t="shared" si="42"/>
        <v>0</v>
      </c>
      <c r="AJ31" s="19">
        <f t="shared" si="43"/>
        <v>0</v>
      </c>
    </row>
    <row r="32" ht="15.75" customHeight="1">
      <c r="A32" s="6">
        <f t="shared" si="38"/>
        <v>0</v>
      </c>
      <c r="B32" s="5"/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9"/>
        <v>0</v>
      </c>
      <c r="AG32" s="19">
        <f t="shared" si="40"/>
        <v>0</v>
      </c>
      <c r="AH32" s="19">
        <f t="shared" si="41"/>
        <v>0</v>
      </c>
      <c r="AI32" s="19">
        <f t="shared" si="42"/>
        <v>0</v>
      </c>
      <c r="AJ32" s="19">
        <f t="shared" si="43"/>
        <v>0</v>
      </c>
    </row>
    <row r="33" ht="15.75" customHeight="1">
      <c r="A33" s="6">
        <f t="shared" si="38"/>
        <v>0</v>
      </c>
      <c r="B33" s="5"/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9"/>
        <v>0</v>
      </c>
      <c r="AG33" s="19">
        <f t="shared" si="40"/>
        <v>0</v>
      </c>
      <c r="AH33" s="19">
        <f t="shared" si="41"/>
        <v>0</v>
      </c>
      <c r="AI33" s="19">
        <f t="shared" si="42"/>
        <v>0</v>
      </c>
      <c r="AJ33" s="19">
        <f t="shared" si="43"/>
        <v>0</v>
      </c>
    </row>
    <row r="34" ht="15.75" customHeight="1">
      <c r="A34" s="6">
        <f t="shared" si="38"/>
        <v>0</v>
      </c>
      <c r="B34" s="5"/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9"/>
        <v>0</v>
      </c>
      <c r="AG34" s="19">
        <f t="shared" si="40"/>
        <v>0</v>
      </c>
      <c r="AH34" s="19">
        <f t="shared" si="41"/>
        <v>0</v>
      </c>
      <c r="AI34" s="19">
        <f t="shared" si="42"/>
        <v>0</v>
      </c>
      <c r="AJ34" s="19">
        <f t="shared" si="43"/>
        <v>0</v>
      </c>
    </row>
    <row r="35" ht="15.75" customHeight="1">
      <c r="A35" s="6">
        <f t="shared" si="38"/>
        <v>0</v>
      </c>
      <c r="B35" s="5"/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9"/>
        <v>0</v>
      </c>
      <c r="AG35" s="19">
        <f t="shared" si="40"/>
        <v>0</v>
      </c>
      <c r="AH35" s="19">
        <f t="shared" si="41"/>
        <v>0</v>
      </c>
      <c r="AI35" s="19">
        <f t="shared" si="42"/>
        <v>0</v>
      </c>
      <c r="AJ35" s="19">
        <f t="shared" si="43"/>
        <v>0</v>
      </c>
    </row>
    <row r="36" ht="15.75" customHeight="1">
      <c r="A36" s="6">
        <f t="shared" si="38"/>
        <v>0</v>
      </c>
      <c r="B36" s="5"/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9"/>
        <v>0</v>
      </c>
      <c r="AG36" s="19">
        <f t="shared" si="40"/>
        <v>0</v>
      </c>
      <c r="AH36" s="19">
        <f t="shared" si="41"/>
        <v>0</v>
      </c>
      <c r="AI36" s="19">
        <f t="shared" si="42"/>
        <v>0</v>
      </c>
      <c r="AJ36" s="19">
        <f t="shared" si="43"/>
        <v>0</v>
      </c>
    </row>
    <row r="37" ht="15.75" customHeight="1">
      <c r="A37" s="6">
        <f t="shared" si="38"/>
        <v>0</v>
      </c>
      <c r="B37" s="5"/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9"/>
        <v>0</v>
      </c>
      <c r="AG37" s="19">
        <f t="shared" si="40"/>
        <v>0</v>
      </c>
      <c r="AH37" s="19">
        <f t="shared" si="41"/>
        <v>0</v>
      </c>
      <c r="AI37" s="19">
        <f t="shared" si="42"/>
        <v>0</v>
      </c>
      <c r="AJ37" s="19">
        <f t="shared" si="43"/>
        <v>0</v>
      </c>
    </row>
    <row r="38" ht="15.75" customHeight="1">
      <c r="C38" s="25" t="s">
        <v>17</v>
      </c>
      <c r="D38" s="28">
        <f t="shared" ref="D38:AD38" si="44">SUM(D25:D37)</f>
        <v>0</v>
      </c>
      <c r="E38" s="28">
        <f t="shared" si="44"/>
        <v>0</v>
      </c>
      <c r="F38" s="28">
        <f t="shared" si="44"/>
        <v>0</v>
      </c>
      <c r="G38" s="28">
        <f t="shared" si="44"/>
        <v>0</v>
      </c>
      <c r="H38" s="28">
        <f t="shared" si="44"/>
        <v>0</v>
      </c>
      <c r="I38" s="28">
        <f t="shared" si="44"/>
        <v>0</v>
      </c>
      <c r="J38" s="28">
        <f t="shared" si="44"/>
        <v>0</v>
      </c>
      <c r="K38" s="28">
        <f t="shared" si="44"/>
        <v>0</v>
      </c>
      <c r="L38" s="28">
        <f t="shared" si="44"/>
        <v>0</v>
      </c>
      <c r="M38" s="28">
        <f t="shared" si="44"/>
        <v>0</v>
      </c>
      <c r="N38" s="28">
        <f t="shared" si="44"/>
        <v>0</v>
      </c>
      <c r="O38" s="28">
        <f t="shared" si="44"/>
        <v>0</v>
      </c>
      <c r="P38" s="28">
        <f t="shared" si="44"/>
        <v>0</v>
      </c>
      <c r="Q38" s="28">
        <f t="shared" si="44"/>
        <v>0</v>
      </c>
      <c r="R38" s="28">
        <f t="shared" si="44"/>
        <v>0</v>
      </c>
      <c r="S38" s="28">
        <f t="shared" si="44"/>
        <v>0</v>
      </c>
      <c r="T38" s="28">
        <f t="shared" si="44"/>
        <v>0</v>
      </c>
      <c r="U38" s="28">
        <f t="shared" si="44"/>
        <v>0</v>
      </c>
      <c r="V38" s="28">
        <f t="shared" si="44"/>
        <v>0</v>
      </c>
      <c r="W38" s="28">
        <f t="shared" si="44"/>
        <v>0</v>
      </c>
      <c r="X38" s="28">
        <f t="shared" si="44"/>
        <v>0</v>
      </c>
      <c r="Y38" s="28">
        <f t="shared" si="44"/>
        <v>0</v>
      </c>
      <c r="Z38" s="28">
        <f t="shared" si="44"/>
        <v>0</v>
      </c>
      <c r="AA38" s="28">
        <f t="shared" si="44"/>
        <v>0</v>
      </c>
      <c r="AB38" s="28">
        <f t="shared" si="44"/>
        <v>0</v>
      </c>
      <c r="AC38" s="28">
        <f t="shared" si="44"/>
        <v>0</v>
      </c>
      <c r="AD38" s="28">
        <f t="shared" si="44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23"/>
      <c r="E43" s="23"/>
      <c r="F43" s="23"/>
      <c r="G43" s="23"/>
      <c r="H43" s="23"/>
      <c r="I43" s="23"/>
      <c r="J43" s="23"/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IF(D5="D",,IF(D7=1,-1,))</f>
        <v/>
      </c>
      <c r="E45" s="19" t="str">
        <f t="shared" ref="E45:AD45" si="45">IF(E5="D",,IF(E7-D7=1,-1,))</f>
        <v/>
      </c>
      <c r="F45" s="19" t="str">
        <f t="shared" si="45"/>
        <v/>
      </c>
      <c r="G45" s="19" t="str">
        <f t="shared" si="45"/>
        <v/>
      </c>
      <c r="H45" s="19" t="str">
        <f t="shared" si="45"/>
        <v/>
      </c>
      <c r="I45" s="19" t="str">
        <f t="shared" si="45"/>
        <v/>
      </c>
      <c r="J45" s="19" t="str">
        <f t="shared" si="45"/>
        <v/>
      </c>
      <c r="K45" s="19" t="str">
        <f t="shared" si="45"/>
        <v/>
      </c>
      <c r="L45" s="19" t="str">
        <f t="shared" si="45"/>
        <v/>
      </c>
      <c r="M45" s="19" t="str">
        <f t="shared" si="45"/>
        <v/>
      </c>
      <c r="N45" s="19" t="str">
        <f t="shared" si="45"/>
        <v/>
      </c>
      <c r="O45" s="19" t="str">
        <f t="shared" si="45"/>
        <v/>
      </c>
      <c r="P45" s="19" t="str">
        <f t="shared" si="45"/>
        <v/>
      </c>
      <c r="Q45" s="19" t="str">
        <f t="shared" si="45"/>
        <v/>
      </c>
      <c r="R45" s="19" t="str">
        <f t="shared" si="45"/>
        <v/>
      </c>
      <c r="S45" s="19" t="str">
        <f t="shared" si="45"/>
        <v/>
      </c>
      <c r="T45" s="19" t="str">
        <f t="shared" si="45"/>
        <v/>
      </c>
      <c r="U45" s="19" t="str">
        <f t="shared" si="45"/>
        <v/>
      </c>
      <c r="V45" s="19" t="str">
        <f t="shared" si="45"/>
        <v/>
      </c>
      <c r="W45" s="19" t="str">
        <f t="shared" si="45"/>
        <v/>
      </c>
      <c r="X45" s="19" t="str">
        <f t="shared" si="45"/>
        <v/>
      </c>
      <c r="Y45" s="19" t="str">
        <f t="shared" si="45"/>
        <v/>
      </c>
      <c r="Z45" s="19" t="str">
        <f t="shared" si="45"/>
        <v/>
      </c>
      <c r="AA45" s="19" t="str">
        <f t="shared" si="45"/>
        <v/>
      </c>
      <c r="AB45" s="19" t="str">
        <f t="shared" si="45"/>
        <v/>
      </c>
      <c r="AC45" s="19" t="str">
        <f t="shared" si="45"/>
        <v/>
      </c>
      <c r="AD45" s="19" t="str">
        <f t="shared" si="45"/>
        <v/>
      </c>
      <c r="AE45" s="19"/>
      <c r="AF45" s="19">
        <f t="shared" ref="AF45:AF46" si="47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IF(D5="O",,IF(D6=1,1,))</f>
        <v/>
      </c>
      <c r="E46" s="19" t="str">
        <f t="shared" ref="E46:AD46" si="46">IF(E5="O",,IF(E6-D6=1,1,))</f>
        <v/>
      </c>
      <c r="F46" s="19" t="str">
        <f t="shared" si="46"/>
        <v/>
      </c>
      <c r="G46" s="19" t="str">
        <f t="shared" si="46"/>
        <v/>
      </c>
      <c r="H46" s="19" t="str">
        <f t="shared" si="46"/>
        <v/>
      </c>
      <c r="I46" s="19" t="str">
        <f t="shared" si="46"/>
        <v/>
      </c>
      <c r="J46" s="19" t="str">
        <f t="shared" si="46"/>
        <v/>
      </c>
      <c r="K46" s="19" t="str">
        <f t="shared" si="46"/>
        <v/>
      </c>
      <c r="L46" s="19" t="str">
        <f t="shared" si="46"/>
        <v/>
      </c>
      <c r="M46" s="19" t="str">
        <f t="shared" si="46"/>
        <v/>
      </c>
      <c r="N46" s="19" t="str">
        <f t="shared" si="46"/>
        <v/>
      </c>
      <c r="O46" s="19" t="str">
        <f t="shared" si="46"/>
        <v/>
      </c>
      <c r="P46" s="19" t="str">
        <f t="shared" si="46"/>
        <v/>
      </c>
      <c r="Q46" s="19" t="str">
        <f t="shared" si="46"/>
        <v/>
      </c>
      <c r="R46" s="19" t="str">
        <f t="shared" si="46"/>
        <v/>
      </c>
      <c r="S46" s="19" t="str">
        <f t="shared" si="46"/>
        <v/>
      </c>
      <c r="T46" s="19" t="str">
        <f t="shared" si="46"/>
        <v/>
      </c>
      <c r="U46" s="19" t="str">
        <f t="shared" si="46"/>
        <v/>
      </c>
      <c r="V46" s="19" t="str">
        <f t="shared" si="46"/>
        <v/>
      </c>
      <c r="W46" s="19" t="str">
        <f t="shared" si="46"/>
        <v/>
      </c>
      <c r="X46" s="19" t="str">
        <f t="shared" si="46"/>
        <v/>
      </c>
      <c r="Y46" s="19" t="str">
        <f t="shared" si="46"/>
        <v/>
      </c>
      <c r="Z46" s="19" t="str">
        <f t="shared" si="46"/>
        <v/>
      </c>
      <c r="AA46" s="19" t="str">
        <f t="shared" si="46"/>
        <v/>
      </c>
      <c r="AB46" s="19" t="str">
        <f t="shared" si="46"/>
        <v/>
      </c>
      <c r="AC46" s="19" t="str">
        <f t="shared" si="46"/>
        <v/>
      </c>
      <c r="AD46" s="19" t="str">
        <f t="shared" si="46"/>
        <v/>
      </c>
      <c r="AE46" s="19"/>
      <c r="AF46" s="19">
        <f t="shared" si="47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30" t="s">
        <v>116</v>
      </c>
      <c r="J49" s="31"/>
      <c r="K49" s="31"/>
      <c r="L49" s="31"/>
      <c r="M49" s="32"/>
    </row>
    <row r="50" ht="15.75" customHeight="1">
      <c r="A50" s="28"/>
      <c r="B50" s="5"/>
      <c r="C50" s="5" t="str">
        <f t="shared" ref="C50:C62" si="48">C9</f>
        <v>MMP 1</v>
      </c>
      <c r="D50" s="6">
        <f t="shared" ref="D50:D62" si="49">COUNTIF($D$40:$AD$40,C50)</f>
        <v>0</v>
      </c>
      <c r="E50" s="6">
        <f t="shared" ref="E50:E62" si="50">COUNTIF($D$41:$AD$41,C50)</f>
        <v>0</v>
      </c>
      <c r="F50" s="6"/>
      <c r="G50" s="6"/>
      <c r="I50" s="2" t="s">
        <v>117</v>
      </c>
      <c r="J50" s="2" t="s">
        <v>118</v>
      </c>
      <c r="K50" s="33"/>
      <c r="L50" s="2" t="s">
        <v>119</v>
      </c>
      <c r="M50" s="2" t="s">
        <v>118</v>
      </c>
    </row>
    <row r="51" ht="15.75" customHeight="1">
      <c r="A51" s="28"/>
      <c r="B51" s="5"/>
      <c r="C51" s="5" t="str">
        <f t="shared" si="48"/>
        <v>MMP 2</v>
      </c>
      <c r="D51" s="6">
        <f t="shared" si="49"/>
        <v>0</v>
      </c>
      <c r="E51" s="6">
        <f t="shared" si="50"/>
        <v>0</v>
      </c>
      <c r="F51" s="6"/>
      <c r="G51" s="6"/>
      <c r="I51" s="2" t="s">
        <v>120</v>
      </c>
      <c r="J51" s="6" t="s">
        <v>121</v>
      </c>
      <c r="K51" s="33"/>
      <c r="L51" s="2" t="s">
        <v>120</v>
      </c>
      <c r="M51" s="6" t="s">
        <v>121</v>
      </c>
    </row>
    <row r="52" ht="15.75" customHeight="1">
      <c r="A52" s="28"/>
      <c r="B52" s="5"/>
      <c r="C52" s="5" t="str">
        <f t="shared" si="48"/>
        <v>MMP 3</v>
      </c>
      <c r="D52" s="6">
        <f t="shared" si="49"/>
        <v>0</v>
      </c>
      <c r="E52" s="6">
        <f t="shared" si="50"/>
        <v>0</v>
      </c>
      <c r="F52" s="6"/>
      <c r="G52" s="6"/>
      <c r="I52" s="2" t="s">
        <v>122</v>
      </c>
      <c r="J52" s="6" t="s">
        <v>121</v>
      </c>
      <c r="K52" s="33"/>
      <c r="L52" s="2" t="s">
        <v>122</v>
      </c>
      <c r="M52" s="6" t="s">
        <v>121</v>
      </c>
    </row>
    <row r="53" ht="15.75" customHeight="1">
      <c r="A53" s="28"/>
      <c r="B53" s="5"/>
      <c r="C53" s="5" t="str">
        <f t="shared" si="48"/>
        <v>MMP 4</v>
      </c>
      <c r="D53" s="6">
        <f t="shared" si="49"/>
        <v>0</v>
      </c>
      <c r="E53" s="6">
        <f t="shared" si="50"/>
        <v>0</v>
      </c>
      <c r="F53" s="6"/>
      <c r="G53" s="6"/>
      <c r="I53" s="2" t="s">
        <v>123</v>
      </c>
      <c r="J53" s="6"/>
      <c r="K53" s="33"/>
      <c r="L53" s="2" t="s">
        <v>123</v>
      </c>
      <c r="M53" s="6"/>
    </row>
    <row r="54" ht="15.75" customHeight="1">
      <c r="A54" s="28"/>
      <c r="B54" s="5"/>
      <c r="C54" s="5" t="str">
        <f t="shared" si="48"/>
        <v>MMP 5</v>
      </c>
      <c r="D54" s="6">
        <f t="shared" si="49"/>
        <v>0</v>
      </c>
      <c r="E54" s="6">
        <f t="shared" si="50"/>
        <v>0</v>
      </c>
      <c r="F54" s="6"/>
      <c r="G54" s="6"/>
      <c r="I54" s="2" t="s">
        <v>120</v>
      </c>
      <c r="J54" s="6" t="s">
        <v>121</v>
      </c>
      <c r="K54" s="33"/>
      <c r="L54" s="2" t="s">
        <v>120</v>
      </c>
      <c r="M54" s="6" t="s">
        <v>121</v>
      </c>
    </row>
    <row r="55" ht="15.75" customHeight="1">
      <c r="A55" s="28"/>
      <c r="B55" s="5"/>
      <c r="C55" s="5" t="str">
        <f t="shared" si="48"/>
        <v>MMP 6</v>
      </c>
      <c r="D55" s="6">
        <f t="shared" si="49"/>
        <v>0</v>
      </c>
      <c r="E55" s="6">
        <f t="shared" si="50"/>
        <v>0</v>
      </c>
      <c r="F55" s="6"/>
      <c r="G55" s="6"/>
      <c r="I55" s="2" t="s">
        <v>122</v>
      </c>
      <c r="J55" s="6" t="s">
        <v>121</v>
      </c>
      <c r="K55" s="34"/>
      <c r="L55" s="2" t="s">
        <v>122</v>
      </c>
      <c r="M55" s="6" t="s">
        <v>121</v>
      </c>
    </row>
    <row r="56" ht="15.75" customHeight="1">
      <c r="A56" s="28"/>
      <c r="B56" s="5"/>
      <c r="C56" s="5" t="str">
        <f t="shared" si="48"/>
        <v>MMP 7</v>
      </c>
      <c r="D56" s="6">
        <f t="shared" si="49"/>
        <v>0</v>
      </c>
      <c r="E56" s="6">
        <f t="shared" si="50"/>
        <v>0</v>
      </c>
      <c r="F56" s="6"/>
      <c r="G56" s="6"/>
    </row>
    <row r="57" ht="15.75" customHeight="1">
      <c r="A57" s="28"/>
      <c r="B57" s="5"/>
      <c r="C57" s="5" t="str">
        <f t="shared" si="48"/>
        <v>MMP 8</v>
      </c>
      <c r="D57" s="6">
        <f t="shared" si="49"/>
        <v>0</v>
      </c>
      <c r="E57" s="6">
        <f t="shared" si="50"/>
        <v>0</v>
      </c>
      <c r="F57" s="6"/>
      <c r="G57" s="6"/>
      <c r="I57" s="35" t="s">
        <v>124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8"/>
        <v>MMP 9</v>
      </c>
      <c r="D58" s="6">
        <f t="shared" si="49"/>
        <v>0</v>
      </c>
      <c r="E58" s="6">
        <f t="shared" si="50"/>
        <v>0</v>
      </c>
      <c r="F58" s="6"/>
      <c r="G58" s="6"/>
      <c r="I58" s="38" t="s">
        <v>125</v>
      </c>
      <c r="J58" s="36"/>
      <c r="K58" s="36"/>
      <c r="L58" s="36"/>
      <c r="M58" s="37"/>
    </row>
    <row r="59" ht="15.75" customHeight="1">
      <c r="A59" s="28"/>
      <c r="B59" s="5"/>
      <c r="C59" s="5" t="str">
        <f t="shared" si="48"/>
        <v>MMP 10</v>
      </c>
      <c r="D59" s="6">
        <f t="shared" si="49"/>
        <v>0</v>
      </c>
      <c r="E59" s="6">
        <f t="shared" si="50"/>
        <v>0</v>
      </c>
      <c r="F59" s="6"/>
      <c r="G59" s="6"/>
      <c r="I59" s="39" t="s">
        <v>126</v>
      </c>
      <c r="M59" s="40"/>
    </row>
    <row r="60" ht="15.75" customHeight="1">
      <c r="A60" s="28"/>
      <c r="B60" s="5"/>
      <c r="C60" s="5" t="str">
        <f t="shared" si="48"/>
        <v>MMP 11</v>
      </c>
      <c r="D60" s="6">
        <f t="shared" si="49"/>
        <v>0</v>
      </c>
      <c r="E60" s="6">
        <f t="shared" si="50"/>
        <v>0</v>
      </c>
      <c r="F60" s="6"/>
      <c r="G60" s="6"/>
      <c r="I60" s="39" t="s">
        <v>127</v>
      </c>
      <c r="M60" s="40"/>
    </row>
    <row r="61" ht="15.75" customHeight="1">
      <c r="A61" s="28"/>
      <c r="B61" s="5"/>
      <c r="C61" s="5" t="str">
        <f t="shared" si="48"/>
        <v>MMP 12</v>
      </c>
      <c r="D61" s="6">
        <f t="shared" si="49"/>
        <v>0</v>
      </c>
      <c r="E61" s="6">
        <f t="shared" si="50"/>
        <v>0</v>
      </c>
      <c r="F61" s="6"/>
      <c r="G61" s="6"/>
      <c r="I61" s="39" t="s">
        <v>128</v>
      </c>
      <c r="M61" s="40"/>
    </row>
    <row r="62" ht="15.75" customHeight="1">
      <c r="A62" s="28"/>
      <c r="B62" s="5"/>
      <c r="C62" s="5" t="str">
        <f t="shared" si="48"/>
        <v>MMP 13</v>
      </c>
      <c r="D62" s="6">
        <f t="shared" si="49"/>
        <v>0</v>
      </c>
      <c r="E62" s="6">
        <f t="shared" si="50"/>
        <v>0</v>
      </c>
      <c r="F62" s="6"/>
      <c r="G62" s="6"/>
      <c r="I62" s="39" t="s">
        <v>129</v>
      </c>
      <c r="M62" s="40"/>
    </row>
    <row r="63" ht="15.75" customHeight="1">
      <c r="A63" s="25"/>
      <c r="B63" s="1" t="s">
        <v>32</v>
      </c>
      <c r="C63" s="1"/>
      <c r="I63" s="41" t="s">
        <v>130</v>
      </c>
      <c r="J63" s="42"/>
      <c r="K63" s="42"/>
      <c r="L63" s="42"/>
      <c r="M63" s="43"/>
    </row>
    <row r="64" ht="15.75" customHeight="1">
      <c r="A64" s="28"/>
      <c r="B64" s="5"/>
      <c r="C64" s="5" t="str">
        <f t="shared" ref="C64:C76" si="51">C25</f>
        <v>FMP 1</v>
      </c>
      <c r="D64" s="6">
        <f t="shared" ref="D64:D76" si="52">COUNTIF($D$40:$AD$40,C64)</f>
        <v>0</v>
      </c>
      <c r="E64" s="6">
        <f t="shared" ref="E64:E76" si="53">COUNTIF($D$41:$AD$41,C64)</f>
        <v>0</v>
      </c>
      <c r="F64" s="6"/>
      <c r="G64" s="6"/>
    </row>
    <row r="65" ht="15.75" customHeight="1">
      <c r="A65" s="28"/>
      <c r="B65" s="5"/>
      <c r="C65" s="5" t="str">
        <f t="shared" si="51"/>
        <v>FMP 2</v>
      </c>
      <c r="D65" s="6">
        <f t="shared" si="52"/>
        <v>0</v>
      </c>
      <c r="E65" s="6">
        <f t="shared" si="53"/>
        <v>0</v>
      </c>
      <c r="F65" s="6"/>
      <c r="G65" s="6"/>
    </row>
    <row r="66" ht="15.75" customHeight="1">
      <c r="A66" s="28"/>
      <c r="B66" s="5"/>
      <c r="C66" s="5" t="str">
        <f t="shared" si="51"/>
        <v>FMP 3</v>
      </c>
      <c r="D66" s="6">
        <f t="shared" si="52"/>
        <v>0</v>
      </c>
      <c r="E66" s="6">
        <f t="shared" si="53"/>
        <v>0</v>
      </c>
      <c r="F66" s="6"/>
      <c r="G66" s="6"/>
    </row>
    <row r="67" ht="15.75" customHeight="1">
      <c r="A67" s="28"/>
      <c r="B67" s="5"/>
      <c r="C67" s="5" t="str">
        <f t="shared" si="51"/>
        <v>FMP 4</v>
      </c>
      <c r="D67" s="6">
        <f t="shared" si="52"/>
        <v>0</v>
      </c>
      <c r="E67" s="6">
        <f t="shared" si="53"/>
        <v>0</v>
      </c>
      <c r="F67" s="6"/>
      <c r="G67" s="6"/>
    </row>
    <row r="68" ht="15.75" customHeight="1">
      <c r="A68" s="28"/>
      <c r="B68" s="5"/>
      <c r="C68" s="5" t="str">
        <f t="shared" si="51"/>
        <v>FMP 5</v>
      </c>
      <c r="D68" s="6">
        <f t="shared" si="52"/>
        <v>0</v>
      </c>
      <c r="E68" s="6">
        <f t="shared" si="53"/>
        <v>0</v>
      </c>
      <c r="F68" s="6"/>
      <c r="G68" s="6"/>
    </row>
    <row r="69" ht="15.75" customHeight="1">
      <c r="A69" s="28"/>
      <c r="B69" s="5"/>
      <c r="C69" s="5" t="str">
        <f t="shared" si="51"/>
        <v>FMP 6</v>
      </c>
      <c r="D69" s="6">
        <f t="shared" si="52"/>
        <v>0</v>
      </c>
      <c r="E69" s="6">
        <f t="shared" si="53"/>
        <v>0</v>
      </c>
      <c r="F69" s="6"/>
      <c r="G69" s="6"/>
    </row>
    <row r="70" ht="15.75" customHeight="1">
      <c r="A70" s="28"/>
      <c r="B70" s="5"/>
      <c r="C70" s="5" t="str">
        <f t="shared" si="51"/>
        <v>FMP 7</v>
      </c>
      <c r="D70" s="6">
        <f t="shared" si="52"/>
        <v>0</v>
      </c>
      <c r="E70" s="6">
        <f t="shared" si="53"/>
        <v>0</v>
      </c>
      <c r="F70" s="6"/>
      <c r="G70" s="6"/>
    </row>
    <row r="71" ht="15.75" customHeight="1">
      <c r="A71" s="28"/>
      <c r="B71" s="5"/>
      <c r="C71" s="5" t="str">
        <f t="shared" si="51"/>
        <v>FMP 8</v>
      </c>
      <c r="D71" s="6">
        <f t="shared" si="52"/>
        <v>0</v>
      </c>
      <c r="E71" s="6">
        <f t="shared" si="53"/>
        <v>0</v>
      </c>
      <c r="F71" s="6"/>
      <c r="G71" s="6"/>
    </row>
    <row r="72" ht="15.75" customHeight="1">
      <c r="A72" s="28"/>
      <c r="B72" s="5"/>
      <c r="C72" s="5" t="str">
        <f t="shared" si="51"/>
        <v>FMP 9</v>
      </c>
      <c r="D72" s="6">
        <f t="shared" si="52"/>
        <v>0</v>
      </c>
      <c r="E72" s="6">
        <f t="shared" si="53"/>
        <v>0</v>
      </c>
      <c r="F72" s="6"/>
      <c r="G72" s="6"/>
    </row>
    <row r="73" ht="15.75" customHeight="1">
      <c r="A73" s="28"/>
      <c r="B73" s="5"/>
      <c r="C73" s="5" t="str">
        <f t="shared" si="51"/>
        <v>FMP 10</v>
      </c>
      <c r="D73" s="6">
        <f t="shared" si="52"/>
        <v>0</v>
      </c>
      <c r="E73" s="6">
        <f t="shared" si="53"/>
        <v>0</v>
      </c>
      <c r="F73" s="6"/>
      <c r="G73" s="6"/>
    </row>
    <row r="74" ht="15.75" customHeight="1">
      <c r="A74" s="28"/>
      <c r="B74" s="5"/>
      <c r="C74" s="5" t="str">
        <f t="shared" si="51"/>
        <v>FMP 11</v>
      </c>
      <c r="D74" s="6">
        <f t="shared" si="52"/>
        <v>0</v>
      </c>
      <c r="E74" s="6">
        <f t="shared" si="53"/>
        <v>0</v>
      </c>
      <c r="F74" s="6"/>
      <c r="G74" s="6"/>
    </row>
    <row r="75" ht="15.75" customHeight="1">
      <c r="A75" s="28"/>
      <c r="B75" s="5"/>
      <c r="C75" s="5" t="str">
        <f t="shared" si="51"/>
        <v>FMP 12</v>
      </c>
      <c r="D75" s="6">
        <f t="shared" si="52"/>
        <v>0</v>
      </c>
      <c r="E75" s="6">
        <f t="shared" si="53"/>
        <v>0</v>
      </c>
      <c r="F75" s="6"/>
      <c r="G75" s="6"/>
    </row>
    <row r="76" ht="15.75" customHeight="1">
      <c r="A76" s="28"/>
      <c r="B76" s="5"/>
      <c r="C76" s="5" t="str">
        <f t="shared" si="51"/>
        <v>FMP 13</v>
      </c>
      <c r="D76" s="6">
        <f t="shared" si="52"/>
        <v>0</v>
      </c>
      <c r="E76" s="6">
        <f t="shared" si="53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9:M49"/>
    <mergeCell ref="I57:M57"/>
    <mergeCell ref="I58:M58"/>
    <mergeCell ref="I59:M59"/>
    <mergeCell ref="I60:M60"/>
    <mergeCell ref="I61:M61"/>
    <mergeCell ref="I62:M62"/>
    <mergeCell ref="I63:M63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:K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8" priority="49" stopIfTrue="1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D40:AD41">
      <formula1>Template!$C$50:$C$76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1:J52 M51:M52 J54:J55 M54:M55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2">
      <formula1>"Offense,Defense"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23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23">
        <v>7.0</v>
      </c>
    </row>
    <row r="3">
      <c r="C3" s="16" t="s">
        <v>99</v>
      </c>
      <c r="D3" s="24">
        <v>3.0</v>
      </c>
      <c r="E3" s="19">
        <f t="shared" ref="E3:F3" si="1">IF($D$3=4,3,4)</f>
        <v>4</v>
      </c>
      <c r="F3" s="19">
        <f t="shared" si="1"/>
        <v>4</v>
      </c>
      <c r="G3" s="19">
        <f t="shared" ref="G3:H3" si="2">IF($D$3=4,4,3)</f>
        <v>3</v>
      </c>
      <c r="H3" s="19">
        <f t="shared" si="2"/>
        <v>3</v>
      </c>
      <c r="I3" s="19">
        <f t="shared" ref="I3:J3" si="3">IF($D$3=4,3,4)</f>
        <v>4</v>
      </c>
      <c r="J3" s="19">
        <f t="shared" si="3"/>
        <v>4</v>
      </c>
      <c r="K3" s="19">
        <f t="shared" ref="K3:L3" si="4">IF($D$3=4,4,3)</f>
        <v>3</v>
      </c>
      <c r="L3" s="19">
        <f t="shared" si="4"/>
        <v>3</v>
      </c>
      <c r="M3" s="19">
        <f t="shared" ref="M3:N3" si="5">IF($D$3=4,3,4)</f>
        <v>4</v>
      </c>
      <c r="N3" s="19">
        <f t="shared" si="5"/>
        <v>4</v>
      </c>
      <c r="O3" s="19">
        <f t="shared" ref="O3:P3" si="6">IF($D$3=4,4,3)</f>
        <v>3</v>
      </c>
      <c r="P3" s="19">
        <f t="shared" si="6"/>
        <v>3</v>
      </c>
      <c r="Q3" s="19">
        <f t="shared" ref="Q3:R3" si="7">IF($D$3=4,3,4)</f>
        <v>4</v>
      </c>
      <c r="R3" s="19">
        <f t="shared" si="7"/>
        <v>4</v>
      </c>
      <c r="S3" s="19">
        <f t="shared" ref="S3:T3" si="8">IF($D$3=4,4,3)</f>
        <v>3</v>
      </c>
      <c r="T3" s="19">
        <f t="shared" si="8"/>
        <v>3</v>
      </c>
      <c r="U3" s="19">
        <f t="shared" ref="U3:V3" si="9">IF($D$3=4,3,4)</f>
        <v>4</v>
      </c>
      <c r="V3" s="19">
        <f t="shared" si="9"/>
        <v>4</v>
      </c>
      <c r="W3" s="19">
        <f t="shared" ref="W3:X3" si="10">IF($D$3=4,4,3)</f>
        <v>3</v>
      </c>
      <c r="X3" s="19">
        <f t="shared" si="10"/>
        <v>3</v>
      </c>
      <c r="Y3" s="19">
        <f t="shared" ref="Y3:Z3" si="11">IF($D$3=4,3,4)</f>
        <v>4</v>
      </c>
      <c r="Z3" s="19">
        <f t="shared" si="11"/>
        <v>4</v>
      </c>
      <c r="AA3" s="19">
        <f t="shared" ref="AA3:AB3" si="12">IF($D$3=4,4,3)</f>
        <v>3</v>
      </c>
      <c r="AB3" s="19">
        <f t="shared" si="12"/>
        <v>3</v>
      </c>
      <c r="AC3" s="19">
        <f t="shared" ref="AC3:AD3" si="13">IF($D$3=4,3,4)</f>
        <v>4</v>
      </c>
      <c r="AD3" s="19">
        <f t="shared" si="13"/>
        <v>4</v>
      </c>
    </row>
    <row r="4">
      <c r="C4" s="16" t="s">
        <v>100</v>
      </c>
      <c r="D4" s="19">
        <f>IF($D$3=3,4,3)</f>
        <v>4</v>
      </c>
      <c r="E4" s="19">
        <f t="shared" ref="E4:F4" si="14">IF($D$4=3,4,3)</f>
        <v>3</v>
      </c>
      <c r="F4" s="19">
        <f t="shared" si="14"/>
        <v>3</v>
      </c>
      <c r="G4" s="19">
        <f t="shared" ref="G4:H4" si="15">IF($D$4=3,3,4)</f>
        <v>4</v>
      </c>
      <c r="H4" s="19">
        <f t="shared" si="15"/>
        <v>4</v>
      </c>
      <c r="I4" s="19">
        <f t="shared" ref="I4:J4" si="16">IF($D$4=3,4,3)</f>
        <v>3</v>
      </c>
      <c r="J4" s="19">
        <f t="shared" si="16"/>
        <v>3</v>
      </c>
      <c r="K4" s="19">
        <f t="shared" ref="K4:L4" si="17">IF($D$4=3,3,4)</f>
        <v>4</v>
      </c>
      <c r="L4" s="19">
        <f t="shared" si="17"/>
        <v>4</v>
      </c>
      <c r="M4" s="19">
        <f t="shared" ref="M4:N4" si="18">IF($D$4=3,4,3)</f>
        <v>3</v>
      </c>
      <c r="N4" s="19">
        <f t="shared" si="18"/>
        <v>3</v>
      </c>
      <c r="O4" s="19">
        <f t="shared" ref="O4:P4" si="19">IF($D$4=3,3,4)</f>
        <v>4</v>
      </c>
      <c r="P4" s="19">
        <f t="shared" si="19"/>
        <v>4</v>
      </c>
      <c r="Q4" s="19">
        <f t="shared" ref="Q4:R4" si="20">IF($D$4=3,4,3)</f>
        <v>3</v>
      </c>
      <c r="R4" s="19">
        <f t="shared" si="20"/>
        <v>3</v>
      </c>
      <c r="S4" s="19">
        <f t="shared" ref="S4:T4" si="21">IF($D$4=3,3,4)</f>
        <v>4</v>
      </c>
      <c r="T4" s="19">
        <f t="shared" si="21"/>
        <v>4</v>
      </c>
      <c r="U4" s="19">
        <f t="shared" ref="U4:V4" si="22">IF($D$4=3,4,3)</f>
        <v>3</v>
      </c>
      <c r="V4" s="19">
        <f t="shared" si="22"/>
        <v>3</v>
      </c>
      <c r="W4" s="19">
        <f t="shared" ref="W4:X4" si="23">IF($D$4=3,3,4)</f>
        <v>4</v>
      </c>
      <c r="X4" s="19">
        <f t="shared" si="23"/>
        <v>4</v>
      </c>
      <c r="Y4" s="19">
        <f t="shared" ref="Y4:Z4" si="24">IF($D$4=3,4,3)</f>
        <v>3</v>
      </c>
      <c r="Z4" s="19">
        <f t="shared" si="24"/>
        <v>3</v>
      </c>
      <c r="AA4" s="19">
        <f t="shared" ref="AA4:AB4" si="25">IF($D$4=3,3,4)</f>
        <v>4</v>
      </c>
      <c r="AB4" s="19">
        <f t="shared" si="25"/>
        <v>4</v>
      </c>
      <c r="AC4" s="19">
        <f t="shared" ref="AC4:AD4" si="26">IF($D$4=3,4,3)</f>
        <v>3</v>
      </c>
      <c r="AD4" s="19">
        <f t="shared" si="26"/>
        <v>3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/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5"/>
      <c r="C10" s="5" t="str">
        <f>Tourn_Summary!C5</f>
        <v>MMP 2</v>
      </c>
      <c r="D10" s="44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5"/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5"/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5"/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5"/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5"/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5"/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5"/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5"/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5"/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5"/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5"/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5"/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6" si="39">SUMIF($D$5:$AD$5,"=O",D25:AD25)</f>
        <v>0</v>
      </c>
      <c r="AH25" s="19">
        <f t="shared" ref="AH25:AH36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5"/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5"/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5"/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5"/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5"/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5"/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5"/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5"/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5"/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5"/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5"/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5"/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>SUMIF($D$6:$AD$6,"=O",D37:AD37)</f>
        <v>0</v>
      </c>
      <c r="AH37" s="19">
        <f>SUMIF($D$6:$AD$6,"=D",D37:AD37)</f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  <c r="F39" s="19"/>
    </row>
    <row r="40" ht="15.75" customHeight="1">
      <c r="C40" s="16" t="s">
        <v>109</v>
      </c>
      <c r="D40" s="6"/>
      <c r="E40" s="6"/>
      <c r="F40" s="6"/>
      <c r="G40" s="6"/>
      <c r="H40" s="2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23"/>
      <c r="E43" s="23"/>
      <c r="F43" s="23"/>
      <c r="G43" s="23"/>
      <c r="H43" s="6"/>
      <c r="I43" s="23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33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  <c r="F63" s="19"/>
      <c r="G63" s="19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5:AD5">
    <cfRule type="containsText" dxfId="1" priority="4" operator="containsText" text="O">
      <formula>NOT(ISERROR(SEARCH(("O"),(D5))))</formula>
    </cfRule>
  </conditionalFormatting>
  <conditionalFormatting sqref="D5:AD5">
    <cfRule type="containsText" dxfId="2" priority="5" operator="containsText" text="D">
      <formula>NOT(ISERROR(SEARCH(("D"),(D5))))</formula>
    </cfRule>
  </conditionalFormatting>
  <conditionalFormatting sqref="D9:AD21 D25:AD37">
    <cfRule type="expression" dxfId="12" priority="6">
      <formula>$AE9 = "No"</formula>
    </cfRule>
  </conditionalFormatting>
  <conditionalFormatting sqref="H9:AD21">
    <cfRule type="cellIs" dxfId="13" priority="7" operator="equal">
      <formula>1</formula>
    </cfRule>
  </conditionalFormatting>
  <conditionalFormatting sqref="H9:AD21">
    <cfRule type="expression" dxfId="14" priority="8">
      <formula> (D9+E9+F9+G9) &gt; 1</formula>
    </cfRule>
  </conditionalFormatting>
  <conditionalFormatting sqref="H9:AD21">
    <cfRule type="expression" dxfId="10" priority="9">
      <formula>SUM(H$9:H$21) = H$3</formula>
    </cfRule>
  </conditionalFormatting>
  <conditionalFormatting sqref="H9:AD21">
    <cfRule type="expression" dxfId="15" priority="10">
      <formula>D9 = 1</formula>
    </cfRule>
  </conditionalFormatting>
  <conditionalFormatting sqref="H9:AD21">
    <cfRule type="expression" dxfId="11" priority="11">
      <formula>AND(SUM(G$9:G$21) = G$3,ISBLANK(G9), ISBLANK(F9))</formula>
    </cfRule>
  </conditionalFormatting>
  <conditionalFormatting sqref="D22:AD22">
    <cfRule type="cellIs" dxfId="16" priority="12" operator="notEqual">
      <formula>D$3</formula>
    </cfRule>
  </conditionalFormatting>
  <conditionalFormatting sqref="D22:AD22">
    <cfRule type="cellIs" dxfId="17" priority="13" operator="equal">
      <formula>D$3</formula>
    </cfRule>
  </conditionalFormatting>
  <conditionalFormatting sqref="H25:AD37">
    <cfRule type="cellIs" dxfId="13" priority="14" operator="equal">
      <formula>1</formula>
    </cfRule>
  </conditionalFormatting>
  <conditionalFormatting sqref="H25:AD37">
    <cfRule type="expression" dxfId="14" priority="15">
      <formula>(D25 +E25 + F25 + G25) &gt; 1</formula>
    </cfRule>
  </conditionalFormatting>
  <conditionalFormatting sqref="D38:AD38">
    <cfRule type="cellIs" dxfId="16" priority="16" operator="notEqual">
      <formula>D$4</formula>
    </cfRule>
  </conditionalFormatting>
  <conditionalFormatting sqref="D38:AD38">
    <cfRule type="cellIs" dxfId="17" priority="17" operator="equal">
      <formula>D$4</formula>
    </cfRule>
  </conditionalFormatting>
  <conditionalFormatting sqref="D9:D21">
    <cfRule type="cellIs" dxfId="13" priority="18" operator="equal">
      <formula>1</formula>
    </cfRule>
  </conditionalFormatting>
  <conditionalFormatting sqref="D9:D21">
    <cfRule type="expression" dxfId="14" priority="19">
      <formula>SUM(D$9:D$21) = D$3</formula>
    </cfRule>
  </conditionalFormatting>
  <conditionalFormatting sqref="E9:E21">
    <cfRule type="cellIs" dxfId="13" priority="20" operator="equal">
      <formula>1</formula>
    </cfRule>
  </conditionalFormatting>
  <conditionalFormatting sqref="E9:E21">
    <cfRule type="expression" dxfId="14" priority="21">
      <formula>($D9+$E9+$F9+$G9) &gt;0</formula>
    </cfRule>
  </conditionalFormatting>
  <conditionalFormatting sqref="E9:E21">
    <cfRule type="expression" dxfId="14" priority="22">
      <formula>SUM(E$9:E$21) = E$3</formula>
    </cfRule>
  </conditionalFormatting>
  <conditionalFormatting sqref="E9:E21">
    <cfRule type="expression" dxfId="11" priority="23">
      <formula>AND(SUM(D$9:D$21) = D$3,ISBLANK(D9))</formula>
    </cfRule>
  </conditionalFormatting>
  <conditionalFormatting sqref="F9:F21">
    <cfRule type="cellIs" dxfId="13" priority="24" operator="equal">
      <formula>1</formula>
    </cfRule>
  </conditionalFormatting>
  <conditionalFormatting sqref="F9:F21">
    <cfRule type="expression" dxfId="14" priority="25">
      <formula>($D9+$E9+$F9+$G9) &gt;0</formula>
    </cfRule>
  </conditionalFormatting>
  <conditionalFormatting sqref="F9:F21">
    <cfRule type="expression" dxfId="14" priority="26">
      <formula>SUM(F$9:F$21) = F$3</formula>
    </cfRule>
  </conditionalFormatting>
  <conditionalFormatting sqref="F9:F21">
    <cfRule type="expression" dxfId="18" priority="27">
      <formula>AND(SUM(E$9:E$21) = E$3,ISBLANK(E9))</formula>
    </cfRule>
  </conditionalFormatting>
  <conditionalFormatting sqref="G9:G21">
    <cfRule type="cellIs" dxfId="13" priority="28" operator="equal">
      <formula>1</formula>
    </cfRule>
  </conditionalFormatting>
  <conditionalFormatting sqref="G9:G21">
    <cfRule type="expression" dxfId="14" priority="29">
      <formula>($E9+$F9+$G9) &gt;0</formula>
    </cfRule>
  </conditionalFormatting>
  <conditionalFormatting sqref="G9:G21">
    <cfRule type="expression" dxfId="14" priority="30">
      <formula>SUM(G$9:G$21) = G$3</formula>
    </cfRule>
  </conditionalFormatting>
  <conditionalFormatting sqref="G9:G21">
    <cfRule type="expression" dxfId="15" priority="31">
      <formula>AND(SUM($D9:$F9) &lt; 1,$F$22 = $F$3)</formula>
    </cfRule>
  </conditionalFormatting>
  <conditionalFormatting sqref="G9:G21">
    <cfRule type="expression" dxfId="11" priority="32">
      <formula>AND(SUM(F$9:F$21) = F$3,ISBLANK(F9), ISBLANK(E9))</formula>
    </cfRule>
  </conditionalFormatting>
  <conditionalFormatting sqref="D25:D37">
    <cfRule type="cellIs" dxfId="13" priority="33" operator="equal">
      <formula>1</formula>
    </cfRule>
  </conditionalFormatting>
  <conditionalFormatting sqref="D25:D37">
    <cfRule type="expression" dxfId="14" priority="34">
      <formula>SUM(D$25:D$37) = D$4</formula>
    </cfRule>
  </conditionalFormatting>
  <conditionalFormatting sqref="E25:E37">
    <cfRule type="cellIs" dxfId="13" priority="35" operator="equal">
      <formula>1</formula>
    </cfRule>
  </conditionalFormatting>
  <conditionalFormatting sqref="E25:E37">
    <cfRule type="expression" dxfId="14" priority="36">
      <formula>($D25+$E25+$F25+$G25) &gt;0</formula>
    </cfRule>
  </conditionalFormatting>
  <conditionalFormatting sqref="E25:E37">
    <cfRule type="expression" dxfId="14" priority="37">
      <formula>SUM(E$25:E$37) = E$4</formula>
    </cfRule>
  </conditionalFormatting>
  <conditionalFormatting sqref="E25:E37">
    <cfRule type="expression" dxfId="18" priority="38">
      <formula>AND(SUM(D$25:D$37) = D$4,ISBLANK(D25))</formula>
    </cfRule>
  </conditionalFormatting>
  <conditionalFormatting sqref="F25:F37">
    <cfRule type="cellIs" dxfId="13" priority="39" operator="equal">
      <formula>1</formula>
    </cfRule>
  </conditionalFormatting>
  <conditionalFormatting sqref="F25:F37">
    <cfRule type="expression" dxfId="14" priority="40">
      <formula>($D25+$E25+$F25+$G25) &gt;0</formula>
    </cfRule>
  </conditionalFormatting>
  <conditionalFormatting sqref="F25:F37">
    <cfRule type="expression" dxfId="14" priority="41">
      <formula>SUM(F$25:F$37) = F$4</formula>
    </cfRule>
  </conditionalFormatting>
  <conditionalFormatting sqref="F25:F37">
    <cfRule type="expression" dxfId="18" priority="42">
      <formula>AND(SUM(E$25:E$37) = E$4,ISBLANK(E25))</formula>
    </cfRule>
  </conditionalFormatting>
  <conditionalFormatting sqref="G25:G37">
    <cfRule type="cellIs" dxfId="13" priority="43" operator="equal">
      <formula>1</formula>
    </cfRule>
  </conditionalFormatting>
  <conditionalFormatting sqref="G25:G37">
    <cfRule type="expression" dxfId="14" priority="44">
      <formula>($E25+$F25+$G25) &gt;0</formula>
    </cfRule>
  </conditionalFormatting>
  <conditionalFormatting sqref="G25:G37">
    <cfRule type="expression" dxfId="14" priority="45">
      <formula>SUM(G$25:G$37) = G$4</formula>
    </cfRule>
  </conditionalFormatting>
  <conditionalFormatting sqref="G25:G37">
    <cfRule type="expression" dxfId="15" priority="46">
      <formula>AND(SUM($D25:$F25) &lt; 1,$F$38 = $F$4)</formula>
    </cfRule>
  </conditionalFormatting>
  <conditionalFormatting sqref="G25:G37">
    <cfRule type="expression" dxfId="11" priority="47">
      <formula>AND(SUM(F$25:F$37) = F$4,ISBLANK(F25), ISBLANK(E25))</formula>
    </cfRule>
  </conditionalFormatting>
  <conditionalFormatting sqref="H25:AD37">
    <cfRule type="expression" dxfId="14" priority="48">
      <formula>SUM(H$25:H$37) = H$4</formula>
    </cfRule>
  </conditionalFormatting>
  <conditionalFormatting sqref="H25:AD37">
    <cfRule type="expression" dxfId="15" priority="49">
      <formula> D25 = 1</formula>
    </cfRule>
  </conditionalFormatting>
  <conditionalFormatting sqref="H25:AD37">
    <cfRule type="expression" dxfId="11" priority="50">
      <formula>AND(SUM(G$25:G$37) = G$4,ISBLANK(G25),ISBLANK(F25))</formula>
    </cfRule>
  </conditionalFormatting>
  <conditionalFormatting sqref="D40:AD41">
    <cfRule type="notContainsBlanks" dxfId="1" priority="51">
      <formula>LEN(TRIM(D40))&gt;0</formula>
    </cfRule>
  </conditionalFormatting>
  <conditionalFormatting sqref="D40:AD41">
    <cfRule type="expression" dxfId="10" priority="52">
      <formula>NOT(ISBLANK(D$43))</formula>
    </cfRule>
  </conditionalFormatting>
  <conditionalFormatting sqref="E40:AD41">
    <cfRule type="expression" dxfId="11" priority="53">
      <formula>NOT(ISBLANK(E$5))</formula>
    </cfRule>
  </conditionalFormatting>
  <conditionalFormatting sqref="D43:AD43">
    <cfRule type="notContainsBlanks" dxfId="4" priority="54">
      <formula>LEN(TRIM(D43))&gt;0</formula>
    </cfRule>
  </conditionalFormatting>
  <conditionalFormatting sqref="D43:AD43">
    <cfRule type="expression" dxfId="10" priority="55">
      <formula>NOT(ISBLANK(D40))</formula>
    </cfRule>
  </conditionalFormatting>
  <conditionalFormatting sqref="E43:AD43">
    <cfRule type="expression" dxfId="11" priority="56">
      <formula>NOT(ISBLANK(E$5))</formula>
    </cfRule>
  </conditionalFormatting>
  <conditionalFormatting sqref="D43">
    <cfRule type="expression" dxfId="11" priority="57">
      <formula>NOT(ISBLANK(D$5))</formula>
    </cfRule>
  </conditionalFormatting>
  <conditionalFormatting sqref="D43:AD43">
    <cfRule type="expression" dxfId="10" priority="58">
      <formula>ISBLANK(D7)</formula>
    </cfRule>
  </conditionalFormatting>
  <conditionalFormatting sqref="D40:D41">
    <cfRule type="expression" dxfId="11" priority="59">
      <formula>NOT(ISBLANK(D$5))</formula>
    </cfRule>
  </conditionalFormatting>
  <conditionalFormatting sqref="D40:AD41">
    <cfRule type="expression" dxfId="10" priority="60">
      <formula>ISBLANK(D$6)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2">
      <formula1>"Offense,Defense"</formula1>
    </dataValidation>
    <dataValidation type="list" allowBlank="1" showDropDown="1" showErrorMessage="1" sqref="D40:AD41">
      <formula1>'G1'!$C$50:$C$76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6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6">
        <v>7.0</v>
      </c>
    </row>
    <row r="3">
      <c r="C3" s="16" t="s">
        <v>99</v>
      </c>
      <c r="D3" s="24">
        <v>4.0</v>
      </c>
      <c r="E3" s="19">
        <f t="shared" ref="E3:F3" si="1">IF($D$3=4,3,4)</f>
        <v>3</v>
      </c>
      <c r="F3" s="19">
        <f t="shared" si="1"/>
        <v>3</v>
      </c>
      <c r="G3" s="19">
        <f t="shared" ref="G3:H3" si="2">IF($D$3=4,4,3)</f>
        <v>4</v>
      </c>
      <c r="H3" s="19">
        <f t="shared" si="2"/>
        <v>4</v>
      </c>
      <c r="I3" s="19">
        <f t="shared" ref="I3:J3" si="3">IF($D$3=4,3,4)</f>
        <v>3</v>
      </c>
      <c r="J3" s="19">
        <f t="shared" si="3"/>
        <v>3</v>
      </c>
      <c r="K3" s="19">
        <f t="shared" ref="K3:L3" si="4">IF($D$3=4,4,3)</f>
        <v>4</v>
      </c>
      <c r="L3" s="19">
        <f t="shared" si="4"/>
        <v>4</v>
      </c>
      <c r="M3" s="19">
        <f t="shared" ref="M3:N3" si="5">IF($D$3=4,3,4)</f>
        <v>3</v>
      </c>
      <c r="N3" s="19">
        <f t="shared" si="5"/>
        <v>3</v>
      </c>
      <c r="O3" s="19">
        <f t="shared" ref="O3:P3" si="6">IF($D$3=4,4,3)</f>
        <v>4</v>
      </c>
      <c r="P3" s="19">
        <f t="shared" si="6"/>
        <v>4</v>
      </c>
      <c r="Q3" s="19">
        <f t="shared" ref="Q3:R3" si="7">IF($D$3=4,3,4)</f>
        <v>3</v>
      </c>
      <c r="R3" s="19">
        <f t="shared" si="7"/>
        <v>3</v>
      </c>
      <c r="S3" s="19">
        <f t="shared" ref="S3:T3" si="8">IF($D$3=4,4,3)</f>
        <v>4</v>
      </c>
      <c r="T3" s="19">
        <f t="shared" si="8"/>
        <v>4</v>
      </c>
      <c r="U3" s="19">
        <f t="shared" ref="U3:V3" si="9">IF($D$3=4,3,4)</f>
        <v>3</v>
      </c>
      <c r="V3" s="19">
        <f t="shared" si="9"/>
        <v>3</v>
      </c>
      <c r="W3" s="19">
        <f t="shared" ref="W3:X3" si="10">IF($D$3=4,4,3)</f>
        <v>4</v>
      </c>
      <c r="X3" s="19">
        <f t="shared" si="10"/>
        <v>4</v>
      </c>
      <c r="Y3" s="19">
        <f t="shared" ref="Y3:Z3" si="11">IF($D$3=4,3,4)</f>
        <v>3</v>
      </c>
      <c r="Z3" s="19">
        <f t="shared" si="11"/>
        <v>3</v>
      </c>
      <c r="AA3" s="19">
        <f t="shared" ref="AA3:AB3" si="12">IF($D$3=4,4,3)</f>
        <v>4</v>
      </c>
      <c r="AB3" s="19">
        <f t="shared" si="12"/>
        <v>4</v>
      </c>
      <c r="AC3" s="19">
        <f t="shared" ref="AC3:AD3" si="13">IF($D$3=4,3,4)</f>
        <v>3</v>
      </c>
      <c r="AD3" s="19">
        <f t="shared" si="13"/>
        <v>3</v>
      </c>
    </row>
    <row r="4">
      <c r="C4" s="16" t="s">
        <v>100</v>
      </c>
      <c r="D4" s="19">
        <f>IF($D$3=3,4,3)</f>
        <v>3</v>
      </c>
      <c r="E4" s="19">
        <f t="shared" ref="E4:F4" si="14">IF($D$4=3,4,3)</f>
        <v>4</v>
      </c>
      <c r="F4" s="19">
        <f t="shared" si="14"/>
        <v>4</v>
      </c>
      <c r="G4" s="19">
        <f t="shared" ref="G4:H4" si="15">IF($D$4=3,3,4)</f>
        <v>3</v>
      </c>
      <c r="H4" s="19">
        <f t="shared" si="15"/>
        <v>3</v>
      </c>
      <c r="I4" s="19">
        <f t="shared" ref="I4:J4" si="16">IF($D$4=3,4,3)</f>
        <v>4</v>
      </c>
      <c r="J4" s="19">
        <f t="shared" si="16"/>
        <v>4</v>
      </c>
      <c r="K4" s="19">
        <f t="shared" ref="K4:L4" si="17">IF($D$4=3,3,4)</f>
        <v>3</v>
      </c>
      <c r="L4" s="19">
        <f t="shared" si="17"/>
        <v>3</v>
      </c>
      <c r="M4" s="19">
        <f t="shared" ref="M4:N4" si="18">IF($D$4=3,4,3)</f>
        <v>4</v>
      </c>
      <c r="N4" s="19">
        <f t="shared" si="18"/>
        <v>4</v>
      </c>
      <c r="O4" s="19">
        <f t="shared" ref="O4:P4" si="19">IF($D$4=3,3,4)</f>
        <v>3</v>
      </c>
      <c r="P4" s="19">
        <f t="shared" si="19"/>
        <v>3</v>
      </c>
      <c r="Q4" s="19">
        <f t="shared" ref="Q4:R4" si="20">IF($D$4=3,4,3)</f>
        <v>4</v>
      </c>
      <c r="R4" s="19">
        <f t="shared" si="20"/>
        <v>4</v>
      </c>
      <c r="S4" s="19">
        <f t="shared" ref="S4:T4" si="21">IF($D$4=3,3,4)</f>
        <v>3</v>
      </c>
      <c r="T4" s="19">
        <f t="shared" si="21"/>
        <v>3</v>
      </c>
      <c r="U4" s="19">
        <f t="shared" ref="U4:V4" si="22">IF($D$4=3,4,3)</f>
        <v>4</v>
      </c>
      <c r="V4" s="19">
        <f t="shared" si="22"/>
        <v>4</v>
      </c>
      <c r="W4" s="19">
        <f t="shared" ref="W4:X4" si="23">IF($D$4=3,3,4)</f>
        <v>3</v>
      </c>
      <c r="X4" s="19">
        <f t="shared" si="23"/>
        <v>3</v>
      </c>
      <c r="Y4" s="19">
        <f t="shared" ref="Y4:Z4" si="24">IF($D$4=3,4,3)</f>
        <v>4</v>
      </c>
      <c r="Z4" s="19">
        <f t="shared" si="24"/>
        <v>4</v>
      </c>
      <c r="AA4" s="19">
        <f t="shared" ref="AA4:AB4" si="25">IF($D$4=3,3,4)</f>
        <v>3</v>
      </c>
      <c r="AB4" s="19">
        <f t="shared" si="25"/>
        <v>3</v>
      </c>
      <c r="AC4" s="19">
        <f t="shared" ref="AC4:AD4" si="26">IF($D$4=3,4,3)</f>
        <v>4</v>
      </c>
      <c r="AD4" s="19">
        <f t="shared" si="26"/>
        <v>4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6">
        <f>'G1'!AF9</f>
        <v>0</v>
      </c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6">
        <f>'G1'!AF10</f>
        <v>0</v>
      </c>
      <c r="C10" s="5" t="str">
        <f>Tourn_Summary!C5</f>
        <v>MMP 2</v>
      </c>
      <c r="D10" s="44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6">
        <f>'G1'!AF11</f>
        <v>0</v>
      </c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6">
        <f>'G1'!AF12</f>
        <v>0</v>
      </c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6">
        <f>'G1'!AF13</f>
        <v>0</v>
      </c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6">
        <f>'G1'!AF14</f>
        <v>0</v>
      </c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6">
        <f>'G1'!AF15</f>
        <v>0</v>
      </c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6">
        <f>'G1'!AF16</f>
        <v>0</v>
      </c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6">
        <f>'G1'!AF17</f>
        <v>0</v>
      </c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6">
        <f>'G1'!AF18</f>
        <v>0</v>
      </c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6">
        <f>'G1'!AF19</f>
        <v>0</v>
      </c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6">
        <f>'G1'!AF20</f>
        <v>0</v>
      </c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6">
        <f>'G1'!AF21</f>
        <v>0</v>
      </c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6">
        <f>'G1'!AF25</f>
        <v>0</v>
      </c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7" si="39">SUMIF($D$5:$AD$5,"=O",D25:AD25)</f>
        <v>0</v>
      </c>
      <c r="AH25" s="19">
        <f t="shared" ref="AH25:AH37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6">
        <f>'G1'!AF26</f>
        <v>0</v>
      </c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6">
        <f>'G1'!AF27</f>
        <v>0</v>
      </c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6">
        <f>'G1'!AF28</f>
        <v>0</v>
      </c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6">
        <f>'G1'!AF29</f>
        <v>0</v>
      </c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6">
        <f>'G1'!AF30</f>
        <v>0</v>
      </c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6">
        <f>'G1'!AF31</f>
        <v>0</v>
      </c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6">
        <f>'G1'!AF32</f>
        <v>0</v>
      </c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6">
        <f>'G1'!AF33</f>
        <v>0</v>
      </c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6">
        <f>'G1'!AF34</f>
        <v>0</v>
      </c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6">
        <f>'G1'!AF35</f>
        <v>0</v>
      </c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6">
        <f>'G1'!AF36</f>
        <v>0</v>
      </c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6">
        <f>'G1'!AF37</f>
        <v>0</v>
      </c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 t="shared" si="39"/>
        <v>0</v>
      </c>
      <c r="AH37" s="19">
        <f t="shared" si="40"/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19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"No"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3" priority="49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40:AD41">
      <formula1>'G2'!$C$50:$C$76</formula1>
    </dataValidation>
    <dataValidation type="list" allowBlank="1" showDropDown="1" showErrorMessage="1" sqref="D2">
      <formula1>"Offense,Defense"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6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6">
        <v>7.0</v>
      </c>
    </row>
    <row r="3">
      <c r="C3" s="16" t="s">
        <v>99</v>
      </c>
      <c r="D3" s="24">
        <v>3.0</v>
      </c>
      <c r="E3" s="19">
        <f t="shared" ref="E3:F3" si="1">IF($D$3=4,3,4)</f>
        <v>4</v>
      </c>
      <c r="F3" s="19">
        <f t="shared" si="1"/>
        <v>4</v>
      </c>
      <c r="G3" s="19">
        <f t="shared" ref="G3:H3" si="2">IF($D$3=4,4,3)</f>
        <v>3</v>
      </c>
      <c r="H3" s="19">
        <f t="shared" si="2"/>
        <v>3</v>
      </c>
      <c r="I3" s="19">
        <f t="shared" ref="I3:J3" si="3">IF($D$3=4,3,4)</f>
        <v>4</v>
      </c>
      <c r="J3" s="19">
        <f t="shared" si="3"/>
        <v>4</v>
      </c>
      <c r="K3" s="19">
        <f t="shared" ref="K3:L3" si="4">IF($D$3=4,4,3)</f>
        <v>3</v>
      </c>
      <c r="L3" s="19">
        <f t="shared" si="4"/>
        <v>3</v>
      </c>
      <c r="M3" s="19">
        <f t="shared" ref="M3:N3" si="5">IF($D$3=4,3,4)</f>
        <v>4</v>
      </c>
      <c r="N3" s="19">
        <f t="shared" si="5"/>
        <v>4</v>
      </c>
      <c r="O3" s="19">
        <f t="shared" ref="O3:P3" si="6">IF($D$3=4,4,3)</f>
        <v>3</v>
      </c>
      <c r="P3" s="19">
        <f t="shared" si="6"/>
        <v>3</v>
      </c>
      <c r="Q3" s="19">
        <f t="shared" ref="Q3:R3" si="7">IF($D$3=4,3,4)</f>
        <v>4</v>
      </c>
      <c r="R3" s="19">
        <f t="shared" si="7"/>
        <v>4</v>
      </c>
      <c r="S3" s="19">
        <f t="shared" ref="S3:T3" si="8">IF($D$3=4,4,3)</f>
        <v>3</v>
      </c>
      <c r="T3" s="19">
        <f t="shared" si="8"/>
        <v>3</v>
      </c>
      <c r="U3" s="19">
        <f t="shared" ref="U3:V3" si="9">IF($D$3=4,3,4)</f>
        <v>4</v>
      </c>
      <c r="V3" s="19">
        <f t="shared" si="9"/>
        <v>4</v>
      </c>
      <c r="W3" s="19">
        <f t="shared" ref="W3:X3" si="10">IF($D$3=4,4,3)</f>
        <v>3</v>
      </c>
      <c r="X3" s="19">
        <f t="shared" si="10"/>
        <v>3</v>
      </c>
      <c r="Y3" s="19">
        <f t="shared" ref="Y3:Z3" si="11">IF($D$3=4,3,4)</f>
        <v>4</v>
      </c>
      <c r="Z3" s="19">
        <f t="shared" si="11"/>
        <v>4</v>
      </c>
      <c r="AA3" s="19">
        <f t="shared" ref="AA3:AB3" si="12">IF($D$3=4,4,3)</f>
        <v>3</v>
      </c>
      <c r="AB3" s="19">
        <f t="shared" si="12"/>
        <v>3</v>
      </c>
      <c r="AC3" s="19">
        <f t="shared" ref="AC3:AD3" si="13">IF($D$3=4,3,4)</f>
        <v>4</v>
      </c>
      <c r="AD3" s="19">
        <f t="shared" si="13"/>
        <v>4</v>
      </c>
    </row>
    <row r="4">
      <c r="C4" s="16" t="s">
        <v>100</v>
      </c>
      <c r="D4" s="19">
        <f>IF($D$3=3,4,3)</f>
        <v>4</v>
      </c>
      <c r="E4" s="19">
        <f t="shared" ref="E4:F4" si="14">IF($D$4=3,4,3)</f>
        <v>3</v>
      </c>
      <c r="F4" s="19">
        <f t="shared" si="14"/>
        <v>3</v>
      </c>
      <c r="G4" s="19">
        <f t="shared" ref="G4:H4" si="15">IF($D$4=3,3,4)</f>
        <v>4</v>
      </c>
      <c r="H4" s="19">
        <f t="shared" si="15"/>
        <v>4</v>
      </c>
      <c r="I4" s="19">
        <f t="shared" ref="I4:J4" si="16">IF($D$4=3,4,3)</f>
        <v>3</v>
      </c>
      <c r="J4" s="19">
        <f t="shared" si="16"/>
        <v>3</v>
      </c>
      <c r="K4" s="19">
        <f t="shared" ref="K4:L4" si="17">IF($D$4=3,3,4)</f>
        <v>4</v>
      </c>
      <c r="L4" s="19">
        <f t="shared" si="17"/>
        <v>4</v>
      </c>
      <c r="M4" s="19">
        <f t="shared" ref="M4:N4" si="18">IF($D$4=3,4,3)</f>
        <v>3</v>
      </c>
      <c r="N4" s="19">
        <f t="shared" si="18"/>
        <v>3</v>
      </c>
      <c r="O4" s="19">
        <f t="shared" ref="O4:P4" si="19">IF($D$4=3,3,4)</f>
        <v>4</v>
      </c>
      <c r="P4" s="19">
        <f t="shared" si="19"/>
        <v>4</v>
      </c>
      <c r="Q4" s="19">
        <f t="shared" ref="Q4:R4" si="20">IF($D$4=3,4,3)</f>
        <v>3</v>
      </c>
      <c r="R4" s="19">
        <f t="shared" si="20"/>
        <v>3</v>
      </c>
      <c r="S4" s="19">
        <f t="shared" ref="S4:T4" si="21">IF($D$4=3,3,4)</f>
        <v>4</v>
      </c>
      <c r="T4" s="19">
        <f t="shared" si="21"/>
        <v>4</v>
      </c>
      <c r="U4" s="19">
        <f t="shared" ref="U4:V4" si="22">IF($D$4=3,4,3)</f>
        <v>3</v>
      </c>
      <c r="V4" s="19">
        <f t="shared" si="22"/>
        <v>3</v>
      </c>
      <c r="W4" s="19">
        <f t="shared" ref="W4:X4" si="23">IF($D$4=3,3,4)</f>
        <v>4</v>
      </c>
      <c r="X4" s="19">
        <f t="shared" si="23"/>
        <v>4</v>
      </c>
      <c r="Y4" s="19">
        <f t="shared" ref="Y4:Z4" si="24">IF($D$4=3,4,3)</f>
        <v>3</v>
      </c>
      <c r="Z4" s="19">
        <f t="shared" si="24"/>
        <v>3</v>
      </c>
      <c r="AA4" s="19">
        <f t="shared" ref="AA4:AB4" si="25">IF($D$4=3,3,4)</f>
        <v>4</v>
      </c>
      <c r="AB4" s="19">
        <f t="shared" si="25"/>
        <v>4</v>
      </c>
      <c r="AC4" s="19">
        <f t="shared" ref="AC4:AD4" si="26">IF($D$4=3,4,3)</f>
        <v>3</v>
      </c>
      <c r="AD4" s="19">
        <f t="shared" si="26"/>
        <v>3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>
        <f>'G2'!A9</f>
        <v>0</v>
      </c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5">
        <f>'G2'!A10</f>
        <v>0</v>
      </c>
      <c r="C10" s="5" t="str">
        <f>Tourn_Summary!C5</f>
        <v>MMP 2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5">
        <f>'G2'!A11</f>
        <v>0</v>
      </c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5">
        <f>'G2'!A12</f>
        <v>0</v>
      </c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5">
        <f>'G2'!A13</f>
        <v>0</v>
      </c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5">
        <f>'G2'!A14</f>
        <v>0</v>
      </c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5">
        <f>'G2'!A15</f>
        <v>0</v>
      </c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5">
        <f>'G2'!A16</f>
        <v>0</v>
      </c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5">
        <f>'G2'!A17</f>
        <v>0</v>
      </c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5">
        <f>'G2'!A18</f>
        <v>0</v>
      </c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5">
        <f>'G2'!A19</f>
        <v>0</v>
      </c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5">
        <f>'G2'!A20</f>
        <v>0</v>
      </c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5">
        <f>'G2'!A21</f>
        <v>0</v>
      </c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5">
        <f>'G2'!A25</f>
        <v>0</v>
      </c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7" si="39">SUMIF($D$5:$AD$5,"=O",D25:AD25)</f>
        <v>0</v>
      </c>
      <c r="AH25" s="19">
        <f t="shared" ref="AH25:AH37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5">
        <f>'G2'!A26</f>
        <v>0</v>
      </c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5">
        <f>'G2'!A27</f>
        <v>0</v>
      </c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5">
        <f>'G2'!A28</f>
        <v>0</v>
      </c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5">
        <f>'G2'!A29</f>
        <v>0</v>
      </c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5">
        <f>'G2'!A30</f>
        <v>0</v>
      </c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5">
        <f>'G2'!A31</f>
        <v>0</v>
      </c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5">
        <f>'G2'!A32</f>
        <v>0</v>
      </c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5">
        <f>'G2'!A33</f>
        <v>0</v>
      </c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5">
        <f>'G2'!A34</f>
        <v>0</v>
      </c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5">
        <f>'G2'!A35</f>
        <v>0</v>
      </c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5">
        <f>'G2'!A36</f>
        <v>0</v>
      </c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5">
        <f>'G2'!A37</f>
        <v>0</v>
      </c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 t="shared" si="39"/>
        <v>0</v>
      </c>
      <c r="AH37" s="19">
        <f t="shared" si="40"/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19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"No"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3" priority="49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D40:AD41">
      <formula1>'G3'!$C$50:$C$76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2">
      <formula1>"Offense,Defense"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6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6">
        <v>7.0</v>
      </c>
    </row>
    <row r="3">
      <c r="C3" s="16" t="s">
        <v>99</v>
      </c>
      <c r="D3" s="24">
        <v>4.0</v>
      </c>
      <c r="E3" s="19">
        <f t="shared" ref="E3:F3" si="1">IF($D$3=4,3,4)</f>
        <v>3</v>
      </c>
      <c r="F3" s="19">
        <f t="shared" si="1"/>
        <v>3</v>
      </c>
      <c r="G3" s="19">
        <f t="shared" ref="G3:H3" si="2">IF($D$3=4,4,3)</f>
        <v>4</v>
      </c>
      <c r="H3" s="19">
        <f t="shared" si="2"/>
        <v>4</v>
      </c>
      <c r="I3" s="19">
        <f t="shared" ref="I3:J3" si="3">IF($D$3=4,3,4)</f>
        <v>3</v>
      </c>
      <c r="J3" s="19">
        <f t="shared" si="3"/>
        <v>3</v>
      </c>
      <c r="K3" s="19">
        <f t="shared" ref="K3:L3" si="4">IF($D$3=4,4,3)</f>
        <v>4</v>
      </c>
      <c r="L3" s="19">
        <f t="shared" si="4"/>
        <v>4</v>
      </c>
      <c r="M3" s="19">
        <f t="shared" ref="M3:N3" si="5">IF($D$3=4,3,4)</f>
        <v>3</v>
      </c>
      <c r="N3" s="19">
        <f t="shared" si="5"/>
        <v>3</v>
      </c>
      <c r="O3" s="19">
        <f t="shared" ref="O3:P3" si="6">IF($D$3=4,4,3)</f>
        <v>4</v>
      </c>
      <c r="P3" s="19">
        <f t="shared" si="6"/>
        <v>4</v>
      </c>
      <c r="Q3" s="19">
        <f t="shared" ref="Q3:R3" si="7">IF($D$3=4,3,4)</f>
        <v>3</v>
      </c>
      <c r="R3" s="19">
        <f t="shared" si="7"/>
        <v>3</v>
      </c>
      <c r="S3" s="19">
        <f t="shared" ref="S3:T3" si="8">IF($D$3=4,4,3)</f>
        <v>4</v>
      </c>
      <c r="T3" s="19">
        <f t="shared" si="8"/>
        <v>4</v>
      </c>
      <c r="U3" s="19">
        <f t="shared" ref="U3:V3" si="9">IF($D$3=4,3,4)</f>
        <v>3</v>
      </c>
      <c r="V3" s="19">
        <f t="shared" si="9"/>
        <v>3</v>
      </c>
      <c r="W3" s="19">
        <f t="shared" ref="W3:X3" si="10">IF($D$3=4,4,3)</f>
        <v>4</v>
      </c>
      <c r="X3" s="19">
        <f t="shared" si="10"/>
        <v>4</v>
      </c>
      <c r="Y3" s="19">
        <f t="shared" ref="Y3:Z3" si="11">IF($D$3=4,3,4)</f>
        <v>3</v>
      </c>
      <c r="Z3" s="19">
        <f t="shared" si="11"/>
        <v>3</v>
      </c>
      <c r="AA3" s="19">
        <f t="shared" ref="AA3:AB3" si="12">IF($D$3=4,4,3)</f>
        <v>4</v>
      </c>
      <c r="AB3" s="19">
        <f t="shared" si="12"/>
        <v>4</v>
      </c>
      <c r="AC3" s="19">
        <f t="shared" ref="AC3:AD3" si="13">IF($D$3=4,3,4)</f>
        <v>3</v>
      </c>
      <c r="AD3" s="19">
        <f t="shared" si="13"/>
        <v>3</v>
      </c>
    </row>
    <row r="4">
      <c r="C4" s="16" t="s">
        <v>100</v>
      </c>
      <c r="D4" s="19">
        <f>IF($D$3=3,4,3)</f>
        <v>3</v>
      </c>
      <c r="E4" s="19">
        <f t="shared" ref="E4:F4" si="14">IF($D$4=3,4,3)</f>
        <v>4</v>
      </c>
      <c r="F4" s="19">
        <f t="shared" si="14"/>
        <v>4</v>
      </c>
      <c r="G4" s="19">
        <f t="shared" ref="G4:H4" si="15">IF($D$4=3,3,4)</f>
        <v>3</v>
      </c>
      <c r="H4" s="19">
        <f t="shared" si="15"/>
        <v>3</v>
      </c>
      <c r="I4" s="19">
        <f t="shared" ref="I4:J4" si="16">IF($D$4=3,4,3)</f>
        <v>4</v>
      </c>
      <c r="J4" s="19">
        <f t="shared" si="16"/>
        <v>4</v>
      </c>
      <c r="K4" s="19">
        <f t="shared" ref="K4:L4" si="17">IF($D$4=3,3,4)</f>
        <v>3</v>
      </c>
      <c r="L4" s="19">
        <f t="shared" si="17"/>
        <v>3</v>
      </c>
      <c r="M4" s="19">
        <f t="shared" ref="M4:N4" si="18">IF($D$4=3,4,3)</f>
        <v>4</v>
      </c>
      <c r="N4" s="19">
        <f t="shared" si="18"/>
        <v>4</v>
      </c>
      <c r="O4" s="19">
        <f t="shared" ref="O4:P4" si="19">IF($D$4=3,3,4)</f>
        <v>3</v>
      </c>
      <c r="P4" s="19">
        <f t="shared" si="19"/>
        <v>3</v>
      </c>
      <c r="Q4" s="19">
        <f t="shared" ref="Q4:R4" si="20">IF($D$4=3,4,3)</f>
        <v>4</v>
      </c>
      <c r="R4" s="19">
        <f t="shared" si="20"/>
        <v>4</v>
      </c>
      <c r="S4" s="19">
        <f t="shared" ref="S4:T4" si="21">IF($D$4=3,3,4)</f>
        <v>3</v>
      </c>
      <c r="T4" s="19">
        <f t="shared" si="21"/>
        <v>3</v>
      </c>
      <c r="U4" s="19">
        <f t="shared" ref="U4:V4" si="22">IF($D$4=3,4,3)</f>
        <v>4</v>
      </c>
      <c r="V4" s="19">
        <f t="shared" si="22"/>
        <v>4</v>
      </c>
      <c r="W4" s="19">
        <f t="shared" ref="W4:X4" si="23">IF($D$4=3,3,4)</f>
        <v>3</v>
      </c>
      <c r="X4" s="19">
        <f t="shared" si="23"/>
        <v>3</v>
      </c>
      <c r="Y4" s="19">
        <f t="shared" ref="Y4:Z4" si="24">IF($D$4=3,4,3)</f>
        <v>4</v>
      </c>
      <c r="Z4" s="19">
        <f t="shared" si="24"/>
        <v>4</v>
      </c>
      <c r="AA4" s="19">
        <f t="shared" ref="AA4:AB4" si="25">IF($D$4=3,3,4)</f>
        <v>3</v>
      </c>
      <c r="AB4" s="19">
        <f t="shared" si="25"/>
        <v>3</v>
      </c>
      <c r="AC4" s="19">
        <f t="shared" ref="AC4:AD4" si="26">IF($D$4=3,4,3)</f>
        <v>4</v>
      </c>
      <c r="AD4" s="19">
        <f t="shared" si="26"/>
        <v>4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>
        <f>'G3'!A9</f>
        <v>0</v>
      </c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5">
        <f>'G3'!A10</f>
        <v>0</v>
      </c>
      <c r="C10" s="5" t="str">
        <f>Tourn_Summary!C5</f>
        <v>MMP 2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5">
        <f>'G3'!A11</f>
        <v>0</v>
      </c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5">
        <f>'G3'!A12</f>
        <v>0</v>
      </c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5">
        <f>'G3'!A13</f>
        <v>0</v>
      </c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5">
        <f>'G3'!A14</f>
        <v>0</v>
      </c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5">
        <f>'G3'!A15</f>
        <v>0</v>
      </c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5">
        <f>'G3'!A16</f>
        <v>0</v>
      </c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5">
        <f>'G3'!A17</f>
        <v>0</v>
      </c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5">
        <f>'G3'!A18</f>
        <v>0</v>
      </c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5">
        <f>'G3'!A19</f>
        <v>0</v>
      </c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5">
        <f>'G3'!A20</f>
        <v>0</v>
      </c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5">
        <f>'G3'!A21</f>
        <v>0</v>
      </c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5">
        <f>'G3'!A25</f>
        <v>0</v>
      </c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7" si="39">SUMIF($D$5:$AD$5,"=O",D25:AD25)</f>
        <v>0</v>
      </c>
      <c r="AH25" s="19">
        <f t="shared" ref="AH25:AH37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5">
        <f>'G3'!A26</f>
        <v>0</v>
      </c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5">
        <f>'G3'!A27</f>
        <v>0</v>
      </c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5">
        <f>'G3'!A28</f>
        <v>0</v>
      </c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5">
        <f>'G3'!A29</f>
        <v>0</v>
      </c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5">
        <f>'G3'!A30</f>
        <v>0</v>
      </c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5">
        <f>'G3'!A31</f>
        <v>0</v>
      </c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5">
        <f>'G3'!A32</f>
        <v>0</v>
      </c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5">
        <f>'G3'!A33</f>
        <v>0</v>
      </c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5">
        <f>'G3'!A34</f>
        <v>0</v>
      </c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5">
        <f>'G3'!A35</f>
        <v>0</v>
      </c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5">
        <f>'G3'!A36</f>
        <v>0</v>
      </c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5">
        <f>'G3'!A37</f>
        <v>0</v>
      </c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 t="shared" si="39"/>
        <v>0</v>
      </c>
      <c r="AH37" s="19">
        <f t="shared" si="40"/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19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"No"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3" priority="49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2">
      <formula1>"Offense,Defense"</formula1>
    </dataValidation>
    <dataValidation type="list" allowBlank="1" showDropDown="1" showErrorMessage="1" sqref="D40:AD41">
      <formula1>'G4'!$C$50:$C$76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6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6">
        <v>7.0</v>
      </c>
    </row>
    <row r="3">
      <c r="C3" s="16" t="s">
        <v>99</v>
      </c>
      <c r="D3" s="24">
        <v>4.0</v>
      </c>
      <c r="E3" s="19">
        <f t="shared" ref="E3:F3" si="1">IF($D$3=4,3,4)</f>
        <v>3</v>
      </c>
      <c r="F3" s="19">
        <f t="shared" si="1"/>
        <v>3</v>
      </c>
      <c r="G3" s="19">
        <f t="shared" ref="G3:H3" si="2">IF($D$3=4,4,3)</f>
        <v>4</v>
      </c>
      <c r="H3" s="19">
        <f t="shared" si="2"/>
        <v>4</v>
      </c>
      <c r="I3" s="19">
        <f t="shared" ref="I3:J3" si="3">IF($D$3=4,3,4)</f>
        <v>3</v>
      </c>
      <c r="J3" s="19">
        <f t="shared" si="3"/>
        <v>3</v>
      </c>
      <c r="K3" s="19">
        <f t="shared" ref="K3:L3" si="4">IF($D$3=4,4,3)</f>
        <v>4</v>
      </c>
      <c r="L3" s="19">
        <f t="shared" si="4"/>
        <v>4</v>
      </c>
      <c r="M3" s="19">
        <f t="shared" ref="M3:N3" si="5">IF($D$3=4,3,4)</f>
        <v>3</v>
      </c>
      <c r="N3" s="19">
        <f t="shared" si="5"/>
        <v>3</v>
      </c>
      <c r="O3" s="19">
        <f t="shared" ref="O3:P3" si="6">IF($D$3=4,4,3)</f>
        <v>4</v>
      </c>
      <c r="P3" s="19">
        <f t="shared" si="6"/>
        <v>4</v>
      </c>
      <c r="Q3" s="19">
        <f t="shared" ref="Q3:R3" si="7">IF($D$3=4,3,4)</f>
        <v>3</v>
      </c>
      <c r="R3" s="19">
        <f t="shared" si="7"/>
        <v>3</v>
      </c>
      <c r="S3" s="19">
        <f t="shared" ref="S3:T3" si="8">IF($D$3=4,4,3)</f>
        <v>4</v>
      </c>
      <c r="T3" s="19">
        <f t="shared" si="8"/>
        <v>4</v>
      </c>
      <c r="U3" s="19">
        <f t="shared" ref="U3:V3" si="9">IF($D$3=4,3,4)</f>
        <v>3</v>
      </c>
      <c r="V3" s="19">
        <f t="shared" si="9"/>
        <v>3</v>
      </c>
      <c r="W3" s="19">
        <f t="shared" ref="W3:X3" si="10">IF($D$3=4,4,3)</f>
        <v>4</v>
      </c>
      <c r="X3" s="19">
        <f t="shared" si="10"/>
        <v>4</v>
      </c>
      <c r="Y3" s="19">
        <f t="shared" ref="Y3:Z3" si="11">IF($D$3=4,3,4)</f>
        <v>3</v>
      </c>
      <c r="Z3" s="19">
        <f t="shared" si="11"/>
        <v>3</v>
      </c>
      <c r="AA3" s="19">
        <f t="shared" ref="AA3:AB3" si="12">IF($D$3=4,4,3)</f>
        <v>4</v>
      </c>
      <c r="AB3" s="19">
        <f t="shared" si="12"/>
        <v>4</v>
      </c>
      <c r="AC3" s="19">
        <f t="shared" ref="AC3:AD3" si="13">IF($D$3=4,3,4)</f>
        <v>3</v>
      </c>
      <c r="AD3" s="19">
        <f t="shared" si="13"/>
        <v>3</v>
      </c>
    </row>
    <row r="4">
      <c r="C4" s="16" t="s">
        <v>100</v>
      </c>
      <c r="D4" s="19">
        <f>IF($D$3=3,4,3)</f>
        <v>3</v>
      </c>
      <c r="E4" s="19">
        <f t="shared" ref="E4:F4" si="14">IF($D$4=3,4,3)</f>
        <v>4</v>
      </c>
      <c r="F4" s="19">
        <f t="shared" si="14"/>
        <v>4</v>
      </c>
      <c r="G4" s="19">
        <f t="shared" ref="G4:H4" si="15">IF($D$4=3,3,4)</f>
        <v>3</v>
      </c>
      <c r="H4" s="19">
        <f t="shared" si="15"/>
        <v>3</v>
      </c>
      <c r="I4" s="19">
        <f t="shared" ref="I4:J4" si="16">IF($D$4=3,4,3)</f>
        <v>4</v>
      </c>
      <c r="J4" s="19">
        <f t="shared" si="16"/>
        <v>4</v>
      </c>
      <c r="K4" s="19">
        <f t="shared" ref="K4:L4" si="17">IF($D$4=3,3,4)</f>
        <v>3</v>
      </c>
      <c r="L4" s="19">
        <f t="shared" si="17"/>
        <v>3</v>
      </c>
      <c r="M4" s="19">
        <f t="shared" ref="M4:N4" si="18">IF($D$4=3,4,3)</f>
        <v>4</v>
      </c>
      <c r="N4" s="19">
        <f t="shared" si="18"/>
        <v>4</v>
      </c>
      <c r="O4" s="19">
        <f t="shared" ref="O4:P4" si="19">IF($D$4=3,3,4)</f>
        <v>3</v>
      </c>
      <c r="P4" s="19">
        <f t="shared" si="19"/>
        <v>3</v>
      </c>
      <c r="Q4" s="19">
        <f t="shared" ref="Q4:R4" si="20">IF($D$4=3,4,3)</f>
        <v>4</v>
      </c>
      <c r="R4" s="19">
        <f t="shared" si="20"/>
        <v>4</v>
      </c>
      <c r="S4" s="19">
        <f t="shared" ref="S4:T4" si="21">IF($D$4=3,3,4)</f>
        <v>3</v>
      </c>
      <c r="T4" s="19">
        <f t="shared" si="21"/>
        <v>3</v>
      </c>
      <c r="U4" s="19">
        <f t="shared" ref="U4:V4" si="22">IF($D$4=3,4,3)</f>
        <v>4</v>
      </c>
      <c r="V4" s="19">
        <f t="shared" si="22"/>
        <v>4</v>
      </c>
      <c r="W4" s="19">
        <f t="shared" ref="W4:X4" si="23">IF($D$4=3,3,4)</f>
        <v>3</v>
      </c>
      <c r="X4" s="19">
        <f t="shared" si="23"/>
        <v>3</v>
      </c>
      <c r="Y4" s="19">
        <f t="shared" ref="Y4:Z4" si="24">IF($D$4=3,4,3)</f>
        <v>4</v>
      </c>
      <c r="Z4" s="19">
        <f t="shared" si="24"/>
        <v>4</v>
      </c>
      <c r="AA4" s="19">
        <f t="shared" ref="AA4:AB4" si="25">IF($D$4=3,3,4)</f>
        <v>3</v>
      </c>
      <c r="AB4" s="19">
        <f t="shared" si="25"/>
        <v>3</v>
      </c>
      <c r="AC4" s="19">
        <f t="shared" ref="AC4:AD4" si="26">IF($D$4=3,4,3)</f>
        <v>4</v>
      </c>
      <c r="AD4" s="19">
        <f t="shared" si="26"/>
        <v>4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>
        <f>'G3'!A9</f>
        <v>0</v>
      </c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5">
        <f>'G3'!A10</f>
        <v>0</v>
      </c>
      <c r="C10" s="5" t="str">
        <f>Tourn_Summary!C5</f>
        <v>MMP 2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5">
        <f>'G3'!A11</f>
        <v>0</v>
      </c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5">
        <f>'G3'!A12</f>
        <v>0</v>
      </c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5">
        <f>'G3'!A13</f>
        <v>0</v>
      </c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5">
        <f>'G3'!A14</f>
        <v>0</v>
      </c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5">
        <f>'G3'!A15</f>
        <v>0</v>
      </c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5">
        <f>'G3'!A16</f>
        <v>0</v>
      </c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5">
        <f>'G3'!A17</f>
        <v>0</v>
      </c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5">
        <f>'G3'!A18</f>
        <v>0</v>
      </c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5">
        <f>'G3'!A19</f>
        <v>0</v>
      </c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5">
        <f>'G3'!A20</f>
        <v>0</v>
      </c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5">
        <f>'G3'!A21</f>
        <v>0</v>
      </c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5">
        <f>'G3'!A25</f>
        <v>0</v>
      </c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7" si="39">SUMIF($D$5:$AD$5,"=O",D25:AD25)</f>
        <v>0</v>
      </c>
      <c r="AH25" s="19">
        <f t="shared" ref="AH25:AH37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5">
        <f>'G3'!A26</f>
        <v>0</v>
      </c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5">
        <f>'G3'!A27</f>
        <v>0</v>
      </c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5">
        <f>'G3'!A28</f>
        <v>0</v>
      </c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5">
        <f>'G3'!A29</f>
        <v>0</v>
      </c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5">
        <f>'G3'!A30</f>
        <v>0</v>
      </c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5">
        <f>'G3'!A31</f>
        <v>0</v>
      </c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5">
        <f>'G3'!A32</f>
        <v>0</v>
      </c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5">
        <f>'G3'!A33</f>
        <v>0</v>
      </c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5">
        <f>'G3'!A34</f>
        <v>0</v>
      </c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5">
        <f>'G3'!A35</f>
        <v>0</v>
      </c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5">
        <f>'G3'!A36</f>
        <v>0</v>
      </c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5">
        <f>'G3'!A37</f>
        <v>0</v>
      </c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 t="shared" si="39"/>
        <v>0</v>
      </c>
      <c r="AH37" s="19">
        <f t="shared" si="40"/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19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"No"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3" priority="49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40:AD41">
      <formula1>'G5'!$C$50:$C$76</formula1>
    </dataValidation>
    <dataValidation type="list" allowBlank="1" showDropDown="1" showErrorMessage="1" sqref="D2">
      <formula1>"Offense,Defense"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6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6">
        <v>7.0</v>
      </c>
    </row>
    <row r="3">
      <c r="C3" s="16" t="s">
        <v>99</v>
      </c>
      <c r="D3" s="24">
        <v>3.0</v>
      </c>
      <c r="E3" s="19">
        <f t="shared" ref="E3:F3" si="1">IF($D$3=4,3,4)</f>
        <v>4</v>
      </c>
      <c r="F3" s="19">
        <f t="shared" si="1"/>
        <v>4</v>
      </c>
      <c r="G3" s="19">
        <f t="shared" ref="G3:H3" si="2">IF($D$3=4,4,3)</f>
        <v>3</v>
      </c>
      <c r="H3" s="19">
        <f t="shared" si="2"/>
        <v>3</v>
      </c>
      <c r="I3" s="19">
        <f t="shared" ref="I3:J3" si="3">IF($D$3=4,3,4)</f>
        <v>4</v>
      </c>
      <c r="J3" s="19">
        <f t="shared" si="3"/>
        <v>4</v>
      </c>
      <c r="K3" s="19">
        <f t="shared" ref="K3:L3" si="4">IF($D$3=4,4,3)</f>
        <v>3</v>
      </c>
      <c r="L3" s="19">
        <f t="shared" si="4"/>
        <v>3</v>
      </c>
      <c r="M3" s="19">
        <f t="shared" ref="M3:N3" si="5">IF($D$3=4,3,4)</f>
        <v>4</v>
      </c>
      <c r="N3" s="19">
        <f t="shared" si="5"/>
        <v>4</v>
      </c>
      <c r="O3" s="19">
        <f t="shared" ref="O3:P3" si="6">IF($D$3=4,4,3)</f>
        <v>3</v>
      </c>
      <c r="P3" s="19">
        <f t="shared" si="6"/>
        <v>3</v>
      </c>
      <c r="Q3" s="19">
        <f t="shared" ref="Q3:R3" si="7">IF($D$3=4,3,4)</f>
        <v>4</v>
      </c>
      <c r="R3" s="19">
        <f t="shared" si="7"/>
        <v>4</v>
      </c>
      <c r="S3" s="19">
        <f t="shared" ref="S3:T3" si="8">IF($D$3=4,4,3)</f>
        <v>3</v>
      </c>
      <c r="T3" s="19">
        <f t="shared" si="8"/>
        <v>3</v>
      </c>
      <c r="U3" s="19">
        <f t="shared" ref="U3:V3" si="9">IF($D$3=4,3,4)</f>
        <v>4</v>
      </c>
      <c r="V3" s="19">
        <f t="shared" si="9"/>
        <v>4</v>
      </c>
      <c r="W3" s="19">
        <f t="shared" ref="W3:X3" si="10">IF($D$3=4,4,3)</f>
        <v>3</v>
      </c>
      <c r="X3" s="19">
        <f t="shared" si="10"/>
        <v>3</v>
      </c>
      <c r="Y3" s="19">
        <f t="shared" ref="Y3:Z3" si="11">IF($D$3=4,3,4)</f>
        <v>4</v>
      </c>
      <c r="Z3" s="19">
        <f t="shared" si="11"/>
        <v>4</v>
      </c>
      <c r="AA3" s="19">
        <f t="shared" ref="AA3:AB3" si="12">IF($D$3=4,4,3)</f>
        <v>3</v>
      </c>
      <c r="AB3" s="19">
        <f t="shared" si="12"/>
        <v>3</v>
      </c>
      <c r="AC3" s="19">
        <f t="shared" ref="AC3:AD3" si="13">IF($D$3=4,3,4)</f>
        <v>4</v>
      </c>
      <c r="AD3" s="19">
        <f t="shared" si="13"/>
        <v>4</v>
      </c>
    </row>
    <row r="4">
      <c r="C4" s="16" t="s">
        <v>100</v>
      </c>
      <c r="D4" s="19">
        <f>IF($D$3=3,4,3)</f>
        <v>4</v>
      </c>
      <c r="E4" s="19">
        <f t="shared" ref="E4:F4" si="14">IF($D$4=3,4,3)</f>
        <v>3</v>
      </c>
      <c r="F4" s="19">
        <f t="shared" si="14"/>
        <v>3</v>
      </c>
      <c r="G4" s="19">
        <f t="shared" ref="G4:H4" si="15">IF($D$4=3,3,4)</f>
        <v>4</v>
      </c>
      <c r="H4" s="19">
        <f t="shared" si="15"/>
        <v>4</v>
      </c>
      <c r="I4" s="19">
        <f t="shared" ref="I4:J4" si="16">IF($D$4=3,4,3)</f>
        <v>3</v>
      </c>
      <c r="J4" s="19">
        <f t="shared" si="16"/>
        <v>3</v>
      </c>
      <c r="K4" s="19">
        <f t="shared" ref="K4:L4" si="17">IF($D$4=3,3,4)</f>
        <v>4</v>
      </c>
      <c r="L4" s="19">
        <f t="shared" si="17"/>
        <v>4</v>
      </c>
      <c r="M4" s="19">
        <f t="shared" ref="M4:N4" si="18">IF($D$4=3,4,3)</f>
        <v>3</v>
      </c>
      <c r="N4" s="19">
        <f t="shared" si="18"/>
        <v>3</v>
      </c>
      <c r="O4" s="19">
        <f t="shared" ref="O4:P4" si="19">IF($D$4=3,3,4)</f>
        <v>4</v>
      </c>
      <c r="P4" s="19">
        <f t="shared" si="19"/>
        <v>4</v>
      </c>
      <c r="Q4" s="19">
        <f t="shared" ref="Q4:R4" si="20">IF($D$4=3,4,3)</f>
        <v>3</v>
      </c>
      <c r="R4" s="19">
        <f t="shared" si="20"/>
        <v>3</v>
      </c>
      <c r="S4" s="19">
        <f t="shared" ref="S4:T4" si="21">IF($D$4=3,3,4)</f>
        <v>4</v>
      </c>
      <c r="T4" s="19">
        <f t="shared" si="21"/>
        <v>4</v>
      </c>
      <c r="U4" s="19">
        <f t="shared" ref="U4:V4" si="22">IF($D$4=3,4,3)</f>
        <v>3</v>
      </c>
      <c r="V4" s="19">
        <f t="shared" si="22"/>
        <v>3</v>
      </c>
      <c r="W4" s="19">
        <f t="shared" ref="W4:X4" si="23">IF($D$4=3,3,4)</f>
        <v>4</v>
      </c>
      <c r="X4" s="19">
        <f t="shared" si="23"/>
        <v>4</v>
      </c>
      <c r="Y4" s="19">
        <f t="shared" ref="Y4:Z4" si="24">IF($D$4=3,4,3)</f>
        <v>3</v>
      </c>
      <c r="Z4" s="19">
        <f t="shared" si="24"/>
        <v>3</v>
      </c>
      <c r="AA4" s="19">
        <f t="shared" ref="AA4:AB4" si="25">IF($D$4=3,3,4)</f>
        <v>4</v>
      </c>
      <c r="AB4" s="19">
        <f t="shared" si="25"/>
        <v>4</v>
      </c>
      <c r="AC4" s="19">
        <f t="shared" ref="AC4:AD4" si="26">IF($D$4=3,4,3)</f>
        <v>3</v>
      </c>
      <c r="AD4" s="19">
        <f t="shared" si="26"/>
        <v>3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>
        <f>'G5'!A9</f>
        <v>0</v>
      </c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5">
        <f>'G5'!A10</f>
        <v>0</v>
      </c>
      <c r="C10" s="5" t="str">
        <f>Tourn_Summary!C5</f>
        <v>MMP 2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5">
        <f>'G5'!A11</f>
        <v>0</v>
      </c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5">
        <f>'G5'!A12</f>
        <v>0</v>
      </c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5">
        <f>'G5'!A13</f>
        <v>0</v>
      </c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5">
        <f>'G5'!A14</f>
        <v>0</v>
      </c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5">
        <f>'G5'!A15</f>
        <v>0</v>
      </c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5">
        <f>'G5'!A16</f>
        <v>0</v>
      </c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5">
        <f>'G5'!A17</f>
        <v>0</v>
      </c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5">
        <f>'G5'!A18</f>
        <v>0</v>
      </c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5">
        <f>'G5'!A19</f>
        <v>0</v>
      </c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5">
        <f>'G5'!A20</f>
        <v>0</v>
      </c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5">
        <f>'G5'!A21</f>
        <v>0</v>
      </c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5">
        <f>'G5'!A25</f>
        <v>0</v>
      </c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7" si="39">SUMIF($D$5:$AD$5,"=O",D25:AD25)</f>
        <v>0</v>
      </c>
      <c r="AH25" s="19">
        <f t="shared" ref="AH25:AH37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5">
        <f>'G5'!A26</f>
        <v>0</v>
      </c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5">
        <f>'G5'!A27</f>
        <v>0</v>
      </c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5">
        <f>'G5'!A28</f>
        <v>0</v>
      </c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5">
        <f>'G5'!A29</f>
        <v>0</v>
      </c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5">
        <f>'G5'!A30</f>
        <v>0</v>
      </c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5">
        <f>'G5'!A31</f>
        <v>0</v>
      </c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5">
        <f>'G5'!A32</f>
        <v>0</v>
      </c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5">
        <f>'G5'!A33</f>
        <v>0</v>
      </c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5">
        <f>'G5'!A34</f>
        <v>0</v>
      </c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5">
        <f>'G5'!A35</f>
        <v>0</v>
      </c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5">
        <f>'G5'!A36</f>
        <v>0</v>
      </c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5">
        <f>'G5'!A37</f>
        <v>0</v>
      </c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 t="shared" si="39"/>
        <v>0</v>
      </c>
      <c r="AH37" s="19">
        <f t="shared" si="40"/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19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"No"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3" priority="49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D40:AD41">
      <formula1>'G6'!$C$50:$C$76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2">
      <formula1>"Offense,Defense"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8.71"/>
    <col customWidth="1" min="3" max="3" width="14.29"/>
    <col customWidth="1" min="4" max="5" width="8.71"/>
    <col customWidth="1" min="6" max="6" width="9.71"/>
    <col customWidth="1" min="7" max="36" width="8.71"/>
  </cols>
  <sheetData>
    <row r="1">
      <c r="C1" s="16"/>
      <c r="D1" s="19"/>
      <c r="F1" s="16"/>
    </row>
    <row r="2">
      <c r="C2" s="16" t="s">
        <v>95</v>
      </c>
      <c r="D2" s="6"/>
      <c r="F2" s="16" t="s">
        <v>96</v>
      </c>
      <c r="G2" s="6"/>
      <c r="J2" s="16" t="s">
        <v>97</v>
      </c>
      <c r="K2" s="6" t="str">
        <f>IF(ISBLANK(D2),"",IF(D2="Offense","D","O"))</f>
        <v/>
      </c>
      <c r="N2" s="16" t="s">
        <v>98</v>
      </c>
      <c r="O2" s="6">
        <v>7.0</v>
      </c>
    </row>
    <row r="3">
      <c r="C3" s="16" t="s">
        <v>99</v>
      </c>
      <c r="D3" s="24">
        <v>3.0</v>
      </c>
      <c r="E3" s="19">
        <f t="shared" ref="E3:F3" si="1">IF($D$3=4,3,4)</f>
        <v>4</v>
      </c>
      <c r="F3" s="19">
        <f t="shared" si="1"/>
        <v>4</v>
      </c>
      <c r="G3" s="19">
        <f t="shared" ref="G3:H3" si="2">IF($D$3=4,4,3)</f>
        <v>3</v>
      </c>
      <c r="H3" s="19">
        <f t="shared" si="2"/>
        <v>3</v>
      </c>
      <c r="I3" s="19">
        <f t="shared" ref="I3:J3" si="3">IF($D$3=4,3,4)</f>
        <v>4</v>
      </c>
      <c r="J3" s="19">
        <f t="shared" si="3"/>
        <v>4</v>
      </c>
      <c r="K3" s="19">
        <f t="shared" ref="K3:L3" si="4">IF($D$3=4,4,3)</f>
        <v>3</v>
      </c>
      <c r="L3" s="19">
        <f t="shared" si="4"/>
        <v>3</v>
      </c>
      <c r="M3" s="19">
        <f t="shared" ref="M3:N3" si="5">IF($D$3=4,3,4)</f>
        <v>4</v>
      </c>
      <c r="N3" s="19">
        <f t="shared" si="5"/>
        <v>4</v>
      </c>
      <c r="O3" s="19">
        <f t="shared" ref="O3:P3" si="6">IF($D$3=4,4,3)</f>
        <v>3</v>
      </c>
      <c r="P3" s="19">
        <f t="shared" si="6"/>
        <v>3</v>
      </c>
      <c r="Q3" s="19">
        <f t="shared" ref="Q3:R3" si="7">IF($D$3=4,3,4)</f>
        <v>4</v>
      </c>
      <c r="R3" s="19">
        <f t="shared" si="7"/>
        <v>4</v>
      </c>
      <c r="S3" s="19">
        <f t="shared" ref="S3:T3" si="8">IF($D$3=4,4,3)</f>
        <v>3</v>
      </c>
      <c r="T3" s="19">
        <f t="shared" si="8"/>
        <v>3</v>
      </c>
      <c r="U3" s="19">
        <f t="shared" ref="U3:V3" si="9">IF($D$3=4,3,4)</f>
        <v>4</v>
      </c>
      <c r="V3" s="19">
        <f t="shared" si="9"/>
        <v>4</v>
      </c>
      <c r="W3" s="19">
        <f t="shared" ref="W3:X3" si="10">IF($D$3=4,4,3)</f>
        <v>3</v>
      </c>
      <c r="X3" s="19">
        <f t="shared" si="10"/>
        <v>3</v>
      </c>
      <c r="Y3" s="19">
        <f t="shared" ref="Y3:Z3" si="11">IF($D$3=4,3,4)</f>
        <v>4</v>
      </c>
      <c r="Z3" s="19">
        <f t="shared" si="11"/>
        <v>4</v>
      </c>
      <c r="AA3" s="19">
        <f t="shared" ref="AA3:AB3" si="12">IF($D$3=4,4,3)</f>
        <v>3</v>
      </c>
      <c r="AB3" s="19">
        <f t="shared" si="12"/>
        <v>3</v>
      </c>
      <c r="AC3" s="19">
        <f t="shared" ref="AC3:AD3" si="13">IF($D$3=4,3,4)</f>
        <v>4</v>
      </c>
      <c r="AD3" s="19">
        <f t="shared" si="13"/>
        <v>4</v>
      </c>
    </row>
    <row r="4">
      <c r="C4" s="16" t="s">
        <v>100</v>
      </c>
      <c r="D4" s="19">
        <f>IF($D$3=3,4,3)</f>
        <v>4</v>
      </c>
      <c r="E4" s="19">
        <f t="shared" ref="E4:F4" si="14">IF($D$4=3,4,3)</f>
        <v>3</v>
      </c>
      <c r="F4" s="19">
        <f t="shared" si="14"/>
        <v>3</v>
      </c>
      <c r="G4" s="19">
        <f t="shared" ref="G4:H4" si="15">IF($D$4=3,3,4)</f>
        <v>4</v>
      </c>
      <c r="H4" s="19">
        <f t="shared" si="15"/>
        <v>4</v>
      </c>
      <c r="I4" s="19">
        <f t="shared" ref="I4:J4" si="16">IF($D$4=3,4,3)</f>
        <v>3</v>
      </c>
      <c r="J4" s="19">
        <f t="shared" si="16"/>
        <v>3</v>
      </c>
      <c r="K4" s="19">
        <f t="shared" ref="K4:L4" si="17">IF($D$4=3,3,4)</f>
        <v>4</v>
      </c>
      <c r="L4" s="19">
        <f t="shared" si="17"/>
        <v>4</v>
      </c>
      <c r="M4" s="19">
        <f t="shared" ref="M4:N4" si="18">IF($D$4=3,4,3)</f>
        <v>3</v>
      </c>
      <c r="N4" s="19">
        <f t="shared" si="18"/>
        <v>3</v>
      </c>
      <c r="O4" s="19">
        <f t="shared" ref="O4:P4" si="19">IF($D$4=3,3,4)</f>
        <v>4</v>
      </c>
      <c r="P4" s="19">
        <f t="shared" si="19"/>
        <v>4</v>
      </c>
      <c r="Q4" s="19">
        <f t="shared" ref="Q4:R4" si="20">IF($D$4=3,4,3)</f>
        <v>3</v>
      </c>
      <c r="R4" s="19">
        <f t="shared" si="20"/>
        <v>3</v>
      </c>
      <c r="S4" s="19">
        <f t="shared" ref="S4:T4" si="21">IF($D$4=3,3,4)</f>
        <v>4</v>
      </c>
      <c r="T4" s="19">
        <f t="shared" si="21"/>
        <v>4</v>
      </c>
      <c r="U4" s="19">
        <f t="shared" ref="U4:V4" si="22">IF($D$4=3,4,3)</f>
        <v>3</v>
      </c>
      <c r="V4" s="19">
        <f t="shared" si="22"/>
        <v>3</v>
      </c>
      <c r="W4" s="19">
        <f t="shared" ref="W4:X4" si="23">IF($D$4=3,3,4)</f>
        <v>4</v>
      </c>
      <c r="X4" s="19">
        <f t="shared" si="23"/>
        <v>4</v>
      </c>
      <c r="Y4" s="19">
        <f t="shared" ref="Y4:Z4" si="24">IF($D$4=3,4,3)</f>
        <v>3</v>
      </c>
      <c r="Z4" s="19">
        <f t="shared" si="24"/>
        <v>3</v>
      </c>
      <c r="AA4" s="19">
        <f t="shared" ref="AA4:AB4" si="25">IF($D$4=3,3,4)</f>
        <v>4</v>
      </c>
      <c r="AB4" s="19">
        <f t="shared" si="25"/>
        <v>4</v>
      </c>
      <c r="AC4" s="19">
        <f t="shared" ref="AC4:AD4" si="26">IF($D$4=3,4,3)</f>
        <v>3</v>
      </c>
      <c r="AD4" s="19">
        <f t="shared" si="26"/>
        <v>3</v>
      </c>
    </row>
    <row r="5">
      <c r="C5" s="16" t="s">
        <v>101</v>
      </c>
      <c r="D5" s="6" t="str">
        <f>IF(ISBLANK(D2),,IF(D2="Offense","O","D"))</f>
        <v/>
      </c>
      <c r="E5" s="6" t="str">
        <f>IF(ISBLANK(D6),,IF(D6&gt;0,"D","O"))</f>
        <v/>
      </c>
      <c r="F5" s="6" t="str">
        <f t="shared" ref="F5:AD5" si="27">IFS(ISBLANK(E6),,AND(E6&gt;=$O$2,E7&gt;=$O$2),IF(E6-D6&gt;0,"D","O"),AND(E7=$O$2,E7-D7&gt;0),$K$2,AND(E6=$O$2,E6-D6&gt;0),$K$2,E6-D6&gt;0,"D",E6-D6&lt;1,"O")</f>
        <v/>
      </c>
      <c r="G5" s="6" t="str">
        <f t="shared" si="27"/>
        <v/>
      </c>
      <c r="H5" s="6" t="str">
        <f t="shared" si="27"/>
        <v/>
      </c>
      <c r="I5" s="6" t="str">
        <f t="shared" si="27"/>
        <v/>
      </c>
      <c r="J5" s="6" t="str">
        <f t="shared" si="27"/>
        <v/>
      </c>
      <c r="K5" s="6" t="str">
        <f t="shared" si="27"/>
        <v/>
      </c>
      <c r="L5" s="6" t="str">
        <f t="shared" si="27"/>
        <v/>
      </c>
      <c r="M5" s="6" t="str">
        <f t="shared" si="27"/>
        <v/>
      </c>
      <c r="N5" s="6" t="str">
        <f t="shared" si="27"/>
        <v/>
      </c>
      <c r="O5" s="6" t="str">
        <f t="shared" si="27"/>
        <v/>
      </c>
      <c r="P5" s="6" t="str">
        <f t="shared" si="27"/>
        <v/>
      </c>
      <c r="Q5" s="6" t="str">
        <f t="shared" si="27"/>
        <v/>
      </c>
      <c r="R5" s="6" t="str">
        <f t="shared" si="27"/>
        <v/>
      </c>
      <c r="S5" s="6" t="str">
        <f t="shared" si="27"/>
        <v/>
      </c>
      <c r="T5" s="6" t="str">
        <f t="shared" si="27"/>
        <v/>
      </c>
      <c r="U5" s="6" t="str">
        <f t="shared" si="27"/>
        <v/>
      </c>
      <c r="V5" s="6" t="str">
        <f t="shared" si="27"/>
        <v/>
      </c>
      <c r="W5" s="6" t="str">
        <f t="shared" si="27"/>
        <v/>
      </c>
      <c r="X5" s="6" t="str">
        <f t="shared" si="27"/>
        <v/>
      </c>
      <c r="Y5" s="6" t="str">
        <f t="shared" si="27"/>
        <v/>
      </c>
      <c r="Z5" s="6" t="str">
        <f t="shared" si="27"/>
        <v/>
      </c>
      <c r="AA5" s="6" t="str">
        <f t="shared" si="27"/>
        <v/>
      </c>
      <c r="AB5" s="6" t="str">
        <f t="shared" si="27"/>
        <v/>
      </c>
      <c r="AC5" s="6" t="str">
        <f t="shared" si="27"/>
        <v/>
      </c>
      <c r="AD5" s="6" t="str">
        <f t="shared" si="27"/>
        <v/>
      </c>
      <c r="AE5" s="25"/>
      <c r="AF5" s="25"/>
      <c r="AG5" s="16"/>
      <c r="AH5" s="16"/>
      <c r="AI5" s="16"/>
      <c r="AJ5" s="16"/>
    </row>
    <row r="6">
      <c r="C6" s="16" t="s">
        <v>102</v>
      </c>
      <c r="D6" s="6" t="str">
        <f>IF(ISBLANK(D40),IF(ISBLANK(D43), ,0),1)</f>
        <v/>
      </c>
      <c r="E6" s="6" t="str">
        <f t="shared" ref="E6:AD6" si="28">IF(ISBLANK(E40),IF(ISBLANK(E43), ,D6),D6+1)</f>
        <v/>
      </c>
      <c r="F6" s="6" t="str">
        <f t="shared" si="28"/>
        <v/>
      </c>
      <c r="G6" s="6" t="str">
        <f t="shared" si="28"/>
        <v/>
      </c>
      <c r="H6" s="6" t="str">
        <f t="shared" si="28"/>
        <v/>
      </c>
      <c r="I6" s="6" t="str">
        <f t="shared" si="28"/>
        <v/>
      </c>
      <c r="J6" s="6" t="str">
        <f t="shared" si="28"/>
        <v/>
      </c>
      <c r="K6" s="6" t="str">
        <f t="shared" si="28"/>
        <v/>
      </c>
      <c r="L6" s="6" t="str">
        <f t="shared" si="28"/>
        <v/>
      </c>
      <c r="M6" s="6" t="str">
        <f t="shared" si="28"/>
        <v/>
      </c>
      <c r="N6" s="6" t="str">
        <f t="shared" si="28"/>
        <v/>
      </c>
      <c r="O6" s="6" t="str">
        <f t="shared" si="28"/>
        <v/>
      </c>
      <c r="P6" s="6" t="str">
        <f t="shared" si="28"/>
        <v/>
      </c>
      <c r="Q6" s="6" t="str">
        <f t="shared" si="28"/>
        <v/>
      </c>
      <c r="R6" s="6" t="str">
        <f t="shared" si="28"/>
        <v/>
      </c>
      <c r="S6" s="6" t="str">
        <f t="shared" si="28"/>
        <v/>
      </c>
      <c r="T6" s="6" t="str">
        <f t="shared" si="28"/>
        <v/>
      </c>
      <c r="U6" s="6" t="str">
        <f t="shared" si="28"/>
        <v/>
      </c>
      <c r="V6" s="6" t="str">
        <f t="shared" si="28"/>
        <v/>
      </c>
      <c r="W6" s="6" t="str">
        <f t="shared" si="28"/>
        <v/>
      </c>
      <c r="X6" s="6" t="str">
        <f t="shared" si="28"/>
        <v/>
      </c>
      <c r="Y6" s="6" t="str">
        <f t="shared" si="28"/>
        <v/>
      </c>
      <c r="Z6" s="6" t="str">
        <f t="shared" si="28"/>
        <v/>
      </c>
      <c r="AA6" s="6" t="str">
        <f t="shared" si="28"/>
        <v/>
      </c>
      <c r="AB6" s="6" t="str">
        <f t="shared" si="28"/>
        <v/>
      </c>
      <c r="AC6" s="6" t="str">
        <f t="shared" si="28"/>
        <v/>
      </c>
      <c r="AD6" s="6" t="str">
        <f t="shared" si="28"/>
        <v/>
      </c>
      <c r="AE6" s="26" t="s">
        <v>103</v>
      </c>
      <c r="AF6" s="25" t="s">
        <v>17</v>
      </c>
      <c r="AG6" s="16" t="s">
        <v>104</v>
      </c>
      <c r="AH6" s="16" t="s">
        <v>105</v>
      </c>
      <c r="AI6" s="16" t="s">
        <v>5</v>
      </c>
      <c r="AJ6" s="16" t="s">
        <v>6</v>
      </c>
    </row>
    <row r="7">
      <c r="C7" s="16" t="s">
        <v>106</v>
      </c>
      <c r="D7" s="6" t="str">
        <f>IF(ISBLANK(D43),IF(ISBLANK(D40), ,0),1)</f>
        <v/>
      </c>
      <c r="E7" s="6" t="str">
        <f t="shared" ref="E7:AD7" si="29">IF(ISBLANK(E43),IF(ISBLANK(E40), ,D7),D7+1)</f>
        <v/>
      </c>
      <c r="F7" s="6" t="str">
        <f t="shared" si="29"/>
        <v/>
      </c>
      <c r="G7" s="6" t="str">
        <f t="shared" si="29"/>
        <v/>
      </c>
      <c r="H7" s="6" t="str">
        <f t="shared" si="29"/>
        <v/>
      </c>
      <c r="I7" s="6" t="str">
        <f t="shared" si="29"/>
        <v/>
      </c>
      <c r="J7" s="6" t="str">
        <f t="shared" si="29"/>
        <v/>
      </c>
      <c r="K7" s="6" t="str">
        <f t="shared" si="29"/>
        <v/>
      </c>
      <c r="L7" s="6" t="str">
        <f t="shared" si="29"/>
        <v/>
      </c>
      <c r="M7" s="6" t="str">
        <f t="shared" si="29"/>
        <v/>
      </c>
      <c r="N7" s="6" t="str">
        <f t="shared" si="29"/>
        <v/>
      </c>
      <c r="O7" s="6" t="str">
        <f t="shared" si="29"/>
        <v/>
      </c>
      <c r="P7" s="6" t="str">
        <f t="shared" si="29"/>
        <v/>
      </c>
      <c r="Q7" s="6" t="str">
        <f t="shared" si="29"/>
        <v/>
      </c>
      <c r="R7" s="6" t="str">
        <f t="shared" si="29"/>
        <v/>
      </c>
      <c r="S7" s="6" t="str">
        <f t="shared" si="29"/>
        <v/>
      </c>
      <c r="T7" s="6" t="str">
        <f t="shared" si="29"/>
        <v/>
      </c>
      <c r="U7" s="6" t="str">
        <f t="shared" si="29"/>
        <v/>
      </c>
      <c r="V7" s="6" t="str">
        <f t="shared" si="29"/>
        <v/>
      </c>
      <c r="W7" s="6" t="str">
        <f t="shared" si="29"/>
        <v/>
      </c>
      <c r="X7" s="6" t="str">
        <f t="shared" si="29"/>
        <v/>
      </c>
      <c r="Y7" s="6" t="str">
        <f t="shared" si="29"/>
        <v/>
      </c>
      <c r="Z7" s="6" t="str">
        <f t="shared" si="29"/>
        <v/>
      </c>
      <c r="AA7" s="6" t="str">
        <f t="shared" si="29"/>
        <v/>
      </c>
      <c r="AB7" s="6" t="str">
        <f t="shared" si="29"/>
        <v/>
      </c>
      <c r="AC7" s="6" t="str">
        <f t="shared" si="29"/>
        <v/>
      </c>
      <c r="AD7" s="6" t="str">
        <f t="shared" si="29"/>
        <v/>
      </c>
      <c r="AE7" s="25"/>
      <c r="AF7" s="25"/>
    </row>
    <row r="8">
      <c r="A8" s="1" t="s">
        <v>107</v>
      </c>
      <c r="B8" s="1" t="s">
        <v>108</v>
      </c>
      <c r="C8" s="1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>
        <f t="shared" ref="A9:A21" si="30">AF9+B9</f>
        <v>0</v>
      </c>
      <c r="B9" s="5">
        <f>'G6'!A9</f>
        <v>0</v>
      </c>
      <c r="C9" s="5" t="str">
        <f>Tourn_Summary!C4</f>
        <v>MMP 1</v>
      </c>
      <c r="D9" s="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17"/>
      <c r="AF9" s="19">
        <f t="shared" ref="AF9:AF21" si="31">SUM(D9:AD9)</f>
        <v>0</v>
      </c>
      <c r="AG9" s="19">
        <f t="shared" ref="AG9:AG21" si="32">SUMIF($D$5:$AD$5,"=O",D9:AD9)</f>
        <v>0</v>
      </c>
      <c r="AH9" s="19">
        <f t="shared" ref="AH9:AH21" si="33">SUMIF($D$5:$AD$5,"=D",D9:AD9)</f>
        <v>0</v>
      </c>
      <c r="AI9" s="19">
        <f t="shared" ref="AI9:AI21" si="34">SUMPRODUCT(D9:AD9,$D$45:$AD$45)</f>
        <v>0</v>
      </c>
      <c r="AJ9" s="19">
        <f t="shared" ref="AJ9:AJ21" si="35">SUMPRODUCT(D9:AD9,$D$46:$AD$46)</f>
        <v>0</v>
      </c>
    </row>
    <row r="10">
      <c r="A10" s="6">
        <f t="shared" si="30"/>
        <v>0</v>
      </c>
      <c r="B10" s="5">
        <f>'G6'!A10</f>
        <v>0</v>
      </c>
      <c r="C10" s="5" t="str">
        <f>Tourn_Summary!C5</f>
        <v>MMP 2</v>
      </c>
      <c r="D10" s="5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9"/>
      <c r="AF10" s="19">
        <f t="shared" si="31"/>
        <v>0</v>
      </c>
      <c r="AG10" s="19">
        <f t="shared" si="32"/>
        <v>0</v>
      </c>
      <c r="AH10" s="19">
        <f t="shared" si="33"/>
        <v>0</v>
      </c>
      <c r="AI10" s="19">
        <f t="shared" si="34"/>
        <v>0</v>
      </c>
      <c r="AJ10" s="19">
        <f t="shared" si="35"/>
        <v>0</v>
      </c>
    </row>
    <row r="11">
      <c r="A11" s="6">
        <f t="shared" si="30"/>
        <v>0</v>
      </c>
      <c r="B11" s="5">
        <f>'G6'!A11</f>
        <v>0</v>
      </c>
      <c r="C11" s="5" t="str">
        <f>Tourn_Summary!C6</f>
        <v>MMP 3</v>
      </c>
      <c r="D11" s="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19"/>
      <c r="AF11" s="19">
        <f t="shared" si="31"/>
        <v>0</v>
      </c>
      <c r="AG11" s="19">
        <f t="shared" si="32"/>
        <v>0</v>
      </c>
      <c r="AH11" s="19">
        <f t="shared" si="33"/>
        <v>0</v>
      </c>
      <c r="AI11" s="19">
        <f t="shared" si="34"/>
        <v>0</v>
      </c>
      <c r="AJ11" s="19">
        <f t="shared" si="35"/>
        <v>0</v>
      </c>
    </row>
    <row r="12">
      <c r="A12" s="6">
        <f t="shared" si="30"/>
        <v>0</v>
      </c>
      <c r="B12" s="5">
        <f>'G6'!A12</f>
        <v>0</v>
      </c>
      <c r="C12" s="5" t="str">
        <f>Tourn_Summary!C7</f>
        <v>MMP 4</v>
      </c>
      <c r="D12" s="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"/>
      <c r="AF12" s="19">
        <f t="shared" si="31"/>
        <v>0</v>
      </c>
      <c r="AG12" s="19">
        <f t="shared" si="32"/>
        <v>0</v>
      </c>
      <c r="AH12" s="19">
        <f t="shared" si="33"/>
        <v>0</v>
      </c>
      <c r="AI12" s="19">
        <f t="shared" si="34"/>
        <v>0</v>
      </c>
      <c r="AJ12" s="19">
        <f t="shared" si="35"/>
        <v>0</v>
      </c>
    </row>
    <row r="13">
      <c r="A13" s="6">
        <f t="shared" si="30"/>
        <v>0</v>
      </c>
      <c r="B13" s="5">
        <f>'G6'!A13</f>
        <v>0</v>
      </c>
      <c r="C13" s="5" t="str">
        <f>Tourn_Summary!C8</f>
        <v>MMP 5</v>
      </c>
      <c r="D13" s="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19"/>
      <c r="AF13" s="19">
        <f t="shared" si="31"/>
        <v>0</v>
      </c>
      <c r="AG13" s="19">
        <f t="shared" si="32"/>
        <v>0</v>
      </c>
      <c r="AH13" s="19">
        <f t="shared" si="33"/>
        <v>0</v>
      </c>
      <c r="AI13" s="19">
        <f t="shared" si="34"/>
        <v>0</v>
      </c>
      <c r="AJ13" s="19">
        <f t="shared" si="35"/>
        <v>0</v>
      </c>
    </row>
    <row r="14">
      <c r="A14" s="6">
        <f t="shared" si="30"/>
        <v>0</v>
      </c>
      <c r="B14" s="5">
        <f>'G6'!A14</f>
        <v>0</v>
      </c>
      <c r="C14" s="5" t="str">
        <f>Tourn_Summary!C9</f>
        <v>MMP 6</v>
      </c>
      <c r="D14" s="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19"/>
      <c r="AF14" s="19">
        <f t="shared" si="31"/>
        <v>0</v>
      </c>
      <c r="AG14" s="19">
        <f t="shared" si="32"/>
        <v>0</v>
      </c>
      <c r="AH14" s="19">
        <f t="shared" si="33"/>
        <v>0</v>
      </c>
      <c r="AI14" s="19">
        <f t="shared" si="34"/>
        <v>0</v>
      </c>
      <c r="AJ14" s="19">
        <f t="shared" si="35"/>
        <v>0</v>
      </c>
    </row>
    <row r="15">
      <c r="A15" s="6">
        <f t="shared" si="30"/>
        <v>0</v>
      </c>
      <c r="B15" s="5">
        <f>'G6'!A15</f>
        <v>0</v>
      </c>
      <c r="C15" s="5" t="str">
        <f>Tourn_Summary!C10</f>
        <v>MMP 7</v>
      </c>
      <c r="D15" s="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9"/>
      <c r="AF15" s="19">
        <f t="shared" si="31"/>
        <v>0</v>
      </c>
      <c r="AG15" s="19">
        <f t="shared" si="32"/>
        <v>0</v>
      </c>
      <c r="AH15" s="19">
        <f t="shared" si="33"/>
        <v>0</v>
      </c>
      <c r="AI15" s="19">
        <f t="shared" si="34"/>
        <v>0</v>
      </c>
      <c r="AJ15" s="19">
        <f t="shared" si="35"/>
        <v>0</v>
      </c>
    </row>
    <row r="16">
      <c r="A16" s="6">
        <f t="shared" si="30"/>
        <v>0</v>
      </c>
      <c r="B16" s="5">
        <f>'G6'!A16</f>
        <v>0</v>
      </c>
      <c r="C16" s="5" t="str">
        <f>Tourn_Summary!C11</f>
        <v>MMP 8</v>
      </c>
      <c r="D16" s="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9"/>
      <c r="AF16" s="19">
        <f t="shared" si="31"/>
        <v>0</v>
      </c>
      <c r="AG16" s="19">
        <f t="shared" si="32"/>
        <v>0</v>
      </c>
      <c r="AH16" s="19">
        <f t="shared" si="33"/>
        <v>0</v>
      </c>
      <c r="AI16" s="19">
        <f t="shared" si="34"/>
        <v>0</v>
      </c>
      <c r="AJ16" s="19">
        <f t="shared" si="35"/>
        <v>0</v>
      </c>
    </row>
    <row r="17">
      <c r="A17" s="6">
        <f t="shared" si="30"/>
        <v>0</v>
      </c>
      <c r="B17" s="5">
        <f>'G6'!A17</f>
        <v>0</v>
      </c>
      <c r="C17" s="5" t="str">
        <f>Tourn_Summary!C12</f>
        <v>MMP 9</v>
      </c>
      <c r="D17" s="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9"/>
      <c r="AF17" s="19">
        <f t="shared" si="31"/>
        <v>0</v>
      </c>
      <c r="AG17" s="19">
        <f t="shared" si="32"/>
        <v>0</v>
      </c>
      <c r="AH17" s="19">
        <f t="shared" si="33"/>
        <v>0</v>
      </c>
      <c r="AI17" s="19">
        <f t="shared" si="34"/>
        <v>0</v>
      </c>
      <c r="AJ17" s="19">
        <f t="shared" si="35"/>
        <v>0</v>
      </c>
    </row>
    <row r="18">
      <c r="A18" s="6">
        <f t="shared" si="30"/>
        <v>0</v>
      </c>
      <c r="B18" s="5">
        <f>'G6'!A18</f>
        <v>0</v>
      </c>
      <c r="C18" s="5" t="str">
        <f>Tourn_Summary!C13</f>
        <v>MMP 10</v>
      </c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19"/>
      <c r="AF18" s="19">
        <f t="shared" si="31"/>
        <v>0</v>
      </c>
      <c r="AG18" s="19">
        <f t="shared" si="32"/>
        <v>0</v>
      </c>
      <c r="AH18" s="19">
        <f t="shared" si="33"/>
        <v>0</v>
      </c>
      <c r="AI18" s="19">
        <f t="shared" si="34"/>
        <v>0</v>
      </c>
      <c r="AJ18" s="19">
        <f t="shared" si="35"/>
        <v>0</v>
      </c>
    </row>
    <row r="19">
      <c r="A19" s="6">
        <f t="shared" si="30"/>
        <v>0</v>
      </c>
      <c r="B19" s="5">
        <f>'G6'!A19</f>
        <v>0</v>
      </c>
      <c r="C19" s="5" t="str">
        <f>Tourn_Summary!C14</f>
        <v>MMP 11</v>
      </c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9"/>
      <c r="AF19" s="19">
        <f t="shared" si="31"/>
        <v>0</v>
      </c>
      <c r="AG19" s="19">
        <f t="shared" si="32"/>
        <v>0</v>
      </c>
      <c r="AH19" s="19">
        <f t="shared" si="33"/>
        <v>0</v>
      </c>
      <c r="AI19" s="19">
        <f t="shared" si="34"/>
        <v>0</v>
      </c>
      <c r="AJ19" s="19">
        <f t="shared" si="35"/>
        <v>0</v>
      </c>
    </row>
    <row r="20">
      <c r="A20" s="6">
        <f t="shared" si="30"/>
        <v>0</v>
      </c>
      <c r="B20" s="5">
        <f>'G6'!A20</f>
        <v>0</v>
      </c>
      <c r="C20" s="5" t="str">
        <f>Tourn_Summary!C15</f>
        <v>MMP 12</v>
      </c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19"/>
      <c r="AF20" s="19">
        <f t="shared" si="31"/>
        <v>0</v>
      </c>
      <c r="AG20" s="19">
        <f t="shared" si="32"/>
        <v>0</v>
      </c>
      <c r="AH20" s="19">
        <f t="shared" si="33"/>
        <v>0</v>
      </c>
      <c r="AI20" s="19">
        <f t="shared" si="34"/>
        <v>0</v>
      </c>
      <c r="AJ20" s="19">
        <f t="shared" si="35"/>
        <v>0</v>
      </c>
    </row>
    <row r="21">
      <c r="A21" s="6">
        <f t="shared" si="30"/>
        <v>0</v>
      </c>
      <c r="B21" s="5">
        <f>'G6'!A21</f>
        <v>0</v>
      </c>
      <c r="C21" s="5" t="str">
        <f>Tourn_Summary!C16</f>
        <v>MMP 13</v>
      </c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9"/>
      <c r="AF21" s="19">
        <f t="shared" si="31"/>
        <v>0</v>
      </c>
      <c r="AG21" s="19">
        <f t="shared" si="32"/>
        <v>0</v>
      </c>
      <c r="AH21" s="19">
        <f t="shared" si="33"/>
        <v>0</v>
      </c>
      <c r="AI21" s="19">
        <f t="shared" si="34"/>
        <v>0</v>
      </c>
      <c r="AJ21" s="19">
        <f t="shared" si="35"/>
        <v>0</v>
      </c>
    </row>
    <row r="22">
      <c r="A22" s="28"/>
      <c r="B22" s="28"/>
      <c r="C22" s="25" t="s">
        <v>17</v>
      </c>
      <c r="D22" s="28">
        <f t="shared" ref="D22:AD22" si="36">SUM(D9:D21)</f>
        <v>0</v>
      </c>
      <c r="E22" s="28">
        <f t="shared" si="36"/>
        <v>0</v>
      </c>
      <c r="F22" s="28">
        <f t="shared" si="36"/>
        <v>0</v>
      </c>
      <c r="G22" s="28">
        <f t="shared" si="36"/>
        <v>0</v>
      </c>
      <c r="H22" s="28">
        <f t="shared" si="36"/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 t="shared" si="36"/>
        <v>0</v>
      </c>
      <c r="M22" s="28">
        <f t="shared" si="36"/>
        <v>0</v>
      </c>
      <c r="N22" s="28">
        <f t="shared" si="36"/>
        <v>0</v>
      </c>
      <c r="O22" s="28">
        <f t="shared" si="36"/>
        <v>0</v>
      </c>
      <c r="P22" s="28">
        <f t="shared" si="36"/>
        <v>0</v>
      </c>
      <c r="Q22" s="28">
        <f t="shared" si="36"/>
        <v>0</v>
      </c>
      <c r="R22" s="28">
        <f t="shared" si="36"/>
        <v>0</v>
      </c>
      <c r="S22" s="28">
        <f t="shared" si="36"/>
        <v>0</v>
      </c>
      <c r="T22" s="28">
        <f t="shared" si="36"/>
        <v>0</v>
      </c>
      <c r="U22" s="28">
        <f t="shared" si="36"/>
        <v>0</v>
      </c>
      <c r="V22" s="28">
        <f t="shared" si="36"/>
        <v>0</v>
      </c>
      <c r="W22" s="28">
        <f t="shared" si="36"/>
        <v>0</v>
      </c>
      <c r="X22" s="28">
        <f t="shared" si="36"/>
        <v>0</v>
      </c>
      <c r="Y22" s="28">
        <f t="shared" si="36"/>
        <v>0</v>
      </c>
      <c r="Z22" s="28">
        <f t="shared" si="36"/>
        <v>0</v>
      </c>
      <c r="AA22" s="28">
        <f t="shared" si="36"/>
        <v>0</v>
      </c>
      <c r="AB22" s="28">
        <f t="shared" si="36"/>
        <v>0</v>
      </c>
      <c r="AC22" s="28">
        <f t="shared" si="36"/>
        <v>0</v>
      </c>
      <c r="AD22" s="28">
        <f t="shared" si="36"/>
        <v>0</v>
      </c>
      <c r="AE22" s="28"/>
      <c r="AF22" s="28"/>
      <c r="AG22" s="28"/>
      <c r="AH22" s="28"/>
      <c r="AI22" s="28"/>
      <c r="AJ22" s="28"/>
    </row>
    <row r="24">
      <c r="A24" s="1" t="s">
        <v>107</v>
      </c>
      <c r="B24" s="1" t="s">
        <v>108</v>
      </c>
      <c r="C24" s="1" t="s">
        <v>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>
        <f t="shared" ref="A25:A37" si="37">AF25+B25</f>
        <v>0</v>
      </c>
      <c r="B25" s="5">
        <f>'G6'!A25</f>
        <v>0</v>
      </c>
      <c r="C25" s="5" t="str">
        <f>Tourn_Summary!C18</f>
        <v>FMP 1</v>
      </c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19"/>
      <c r="AF25" s="19">
        <f t="shared" ref="AF25:AF37" si="38">SUM(D25:AD25)</f>
        <v>0</v>
      </c>
      <c r="AG25" s="19">
        <f t="shared" ref="AG25:AG37" si="39">SUMIF($D$5:$AD$5,"=O",D25:AD25)</f>
        <v>0</v>
      </c>
      <c r="AH25" s="19">
        <f t="shared" ref="AH25:AH37" si="40">SUMIF($D$5:$AD$5,"=D",D25:AD25)</f>
        <v>0</v>
      </c>
      <c r="AI25" s="19">
        <f t="shared" ref="AI25:AI37" si="41">SUMPRODUCT(D25:AD25,$D$45:$AD$45)</f>
        <v>0</v>
      </c>
      <c r="AJ25" s="19">
        <f t="shared" ref="AJ25:AJ37" si="42">SUMPRODUCT(D25:AD25,$D$46:$AD$46)</f>
        <v>0</v>
      </c>
    </row>
    <row r="26" ht="15.75" customHeight="1">
      <c r="A26" s="6">
        <f t="shared" si="37"/>
        <v>0</v>
      </c>
      <c r="B26" s="5">
        <f>'G6'!A26</f>
        <v>0</v>
      </c>
      <c r="C26" s="5" t="str">
        <f>Tourn_Summary!C19</f>
        <v>FMP 2</v>
      </c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19"/>
      <c r="AF26" s="19">
        <f t="shared" si="38"/>
        <v>0</v>
      </c>
      <c r="AG26" s="19">
        <f t="shared" si="39"/>
        <v>0</v>
      </c>
      <c r="AH26" s="19">
        <f t="shared" si="40"/>
        <v>0</v>
      </c>
      <c r="AI26" s="19">
        <f t="shared" si="41"/>
        <v>0</v>
      </c>
      <c r="AJ26" s="19">
        <f t="shared" si="42"/>
        <v>0</v>
      </c>
    </row>
    <row r="27" ht="15.75" customHeight="1">
      <c r="A27" s="6">
        <f t="shared" si="37"/>
        <v>0</v>
      </c>
      <c r="B27" s="5">
        <f>'G6'!A27</f>
        <v>0</v>
      </c>
      <c r="C27" s="5" t="str">
        <f>Tourn_Summary!C20</f>
        <v>FMP 3</v>
      </c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19"/>
      <c r="AF27" s="19">
        <f t="shared" si="38"/>
        <v>0</v>
      </c>
      <c r="AG27" s="19">
        <f t="shared" si="39"/>
        <v>0</v>
      </c>
      <c r="AH27" s="19">
        <f t="shared" si="40"/>
        <v>0</v>
      </c>
      <c r="AI27" s="19">
        <f t="shared" si="41"/>
        <v>0</v>
      </c>
      <c r="AJ27" s="19">
        <f t="shared" si="42"/>
        <v>0</v>
      </c>
    </row>
    <row r="28" ht="15.75" customHeight="1">
      <c r="A28" s="6">
        <f t="shared" si="37"/>
        <v>0</v>
      </c>
      <c r="B28" s="5">
        <f>'G6'!A28</f>
        <v>0</v>
      </c>
      <c r="C28" s="5" t="str">
        <f>Tourn_Summary!C21</f>
        <v>FMP 4</v>
      </c>
      <c r="D28" s="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19"/>
      <c r="AF28" s="19">
        <f t="shared" si="38"/>
        <v>0</v>
      </c>
      <c r="AG28" s="19">
        <f t="shared" si="39"/>
        <v>0</v>
      </c>
      <c r="AH28" s="19">
        <f t="shared" si="40"/>
        <v>0</v>
      </c>
      <c r="AI28" s="19">
        <f t="shared" si="41"/>
        <v>0</v>
      </c>
      <c r="AJ28" s="19">
        <f t="shared" si="42"/>
        <v>0</v>
      </c>
    </row>
    <row r="29" ht="15.75" customHeight="1">
      <c r="A29" s="6">
        <f t="shared" si="37"/>
        <v>0</v>
      </c>
      <c r="B29" s="5">
        <f>'G6'!A29</f>
        <v>0</v>
      </c>
      <c r="C29" s="5" t="str">
        <f>Tourn_Summary!C22</f>
        <v>FMP 5</v>
      </c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19"/>
      <c r="AF29" s="19">
        <f t="shared" si="38"/>
        <v>0</v>
      </c>
      <c r="AG29" s="19">
        <f t="shared" si="39"/>
        <v>0</v>
      </c>
      <c r="AH29" s="19">
        <f t="shared" si="40"/>
        <v>0</v>
      </c>
      <c r="AI29" s="19">
        <f t="shared" si="41"/>
        <v>0</v>
      </c>
      <c r="AJ29" s="19">
        <f t="shared" si="42"/>
        <v>0</v>
      </c>
    </row>
    <row r="30" ht="15.75" customHeight="1">
      <c r="A30" s="6">
        <f t="shared" si="37"/>
        <v>0</v>
      </c>
      <c r="B30" s="5">
        <f>'G6'!A30</f>
        <v>0</v>
      </c>
      <c r="C30" s="5" t="str">
        <f>Tourn_Summary!C23</f>
        <v>FMP 6</v>
      </c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19"/>
      <c r="AF30" s="19">
        <f t="shared" si="38"/>
        <v>0</v>
      </c>
      <c r="AG30" s="19">
        <f t="shared" si="39"/>
        <v>0</v>
      </c>
      <c r="AH30" s="19">
        <f t="shared" si="40"/>
        <v>0</v>
      </c>
      <c r="AI30" s="19">
        <f t="shared" si="41"/>
        <v>0</v>
      </c>
      <c r="AJ30" s="19">
        <f t="shared" si="42"/>
        <v>0</v>
      </c>
    </row>
    <row r="31" ht="15.75" customHeight="1">
      <c r="A31" s="6">
        <f t="shared" si="37"/>
        <v>0</v>
      </c>
      <c r="B31" s="5">
        <f>'G6'!A31</f>
        <v>0</v>
      </c>
      <c r="C31" s="5" t="str">
        <f>Tourn_Summary!C24</f>
        <v>FMP 7</v>
      </c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9"/>
      <c r="AF31" s="19">
        <f t="shared" si="38"/>
        <v>0</v>
      </c>
      <c r="AG31" s="19">
        <f t="shared" si="39"/>
        <v>0</v>
      </c>
      <c r="AH31" s="19">
        <f t="shared" si="40"/>
        <v>0</v>
      </c>
      <c r="AI31" s="19">
        <f t="shared" si="41"/>
        <v>0</v>
      </c>
      <c r="AJ31" s="19">
        <f t="shared" si="42"/>
        <v>0</v>
      </c>
    </row>
    <row r="32" ht="15.75" customHeight="1">
      <c r="A32" s="6">
        <f t="shared" si="37"/>
        <v>0</v>
      </c>
      <c r="B32" s="5">
        <f>'G6'!A32</f>
        <v>0</v>
      </c>
      <c r="C32" s="5" t="str">
        <f>Tourn_Summary!C25</f>
        <v>FMP 8</v>
      </c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9"/>
      <c r="AF32" s="19">
        <f t="shared" si="38"/>
        <v>0</v>
      </c>
      <c r="AG32" s="19">
        <f t="shared" si="39"/>
        <v>0</v>
      </c>
      <c r="AH32" s="19">
        <f t="shared" si="40"/>
        <v>0</v>
      </c>
      <c r="AI32" s="19">
        <f t="shared" si="41"/>
        <v>0</v>
      </c>
      <c r="AJ32" s="19">
        <f t="shared" si="42"/>
        <v>0</v>
      </c>
    </row>
    <row r="33" ht="15.75" customHeight="1">
      <c r="A33" s="6">
        <f t="shared" si="37"/>
        <v>0</v>
      </c>
      <c r="B33" s="5">
        <f>'G6'!A33</f>
        <v>0</v>
      </c>
      <c r="C33" s="5" t="str">
        <f>Tourn_Summary!C26</f>
        <v>FMP 9</v>
      </c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19"/>
      <c r="AF33" s="19">
        <f t="shared" si="38"/>
        <v>0</v>
      </c>
      <c r="AG33" s="19">
        <f t="shared" si="39"/>
        <v>0</v>
      </c>
      <c r="AH33" s="19">
        <f t="shared" si="40"/>
        <v>0</v>
      </c>
      <c r="AI33" s="19">
        <f t="shared" si="41"/>
        <v>0</v>
      </c>
      <c r="AJ33" s="19">
        <f t="shared" si="42"/>
        <v>0</v>
      </c>
    </row>
    <row r="34" ht="15.75" customHeight="1">
      <c r="A34" s="6">
        <f t="shared" si="37"/>
        <v>0</v>
      </c>
      <c r="B34" s="5">
        <f>'G6'!A34</f>
        <v>0</v>
      </c>
      <c r="C34" s="5" t="str">
        <f>Tourn_Summary!C27</f>
        <v>FMP 10</v>
      </c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9"/>
      <c r="AF34" s="19">
        <f t="shared" si="38"/>
        <v>0</v>
      </c>
      <c r="AG34" s="19">
        <f t="shared" si="39"/>
        <v>0</v>
      </c>
      <c r="AH34" s="19">
        <f t="shared" si="40"/>
        <v>0</v>
      </c>
      <c r="AI34" s="19">
        <f t="shared" si="41"/>
        <v>0</v>
      </c>
      <c r="AJ34" s="19">
        <f t="shared" si="42"/>
        <v>0</v>
      </c>
    </row>
    <row r="35" ht="15.75" customHeight="1">
      <c r="A35" s="6">
        <f t="shared" si="37"/>
        <v>0</v>
      </c>
      <c r="B35" s="5">
        <f>'G6'!A35</f>
        <v>0</v>
      </c>
      <c r="C35" s="5" t="str">
        <f>Tourn_Summary!C28</f>
        <v>FMP 11</v>
      </c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19"/>
      <c r="AF35" s="19">
        <f t="shared" si="38"/>
        <v>0</v>
      </c>
      <c r="AG35" s="19">
        <f t="shared" si="39"/>
        <v>0</v>
      </c>
      <c r="AH35" s="19">
        <f t="shared" si="40"/>
        <v>0</v>
      </c>
      <c r="AI35" s="19">
        <f t="shared" si="41"/>
        <v>0</v>
      </c>
      <c r="AJ35" s="19">
        <f t="shared" si="42"/>
        <v>0</v>
      </c>
    </row>
    <row r="36" ht="15.75" customHeight="1">
      <c r="A36" s="6">
        <f t="shared" si="37"/>
        <v>0</v>
      </c>
      <c r="B36" s="5">
        <f>'G6'!A36</f>
        <v>0</v>
      </c>
      <c r="C36" s="5" t="str">
        <f>Tourn_Summary!C29</f>
        <v>FMP 12</v>
      </c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19"/>
      <c r="AF36" s="19">
        <f t="shared" si="38"/>
        <v>0</v>
      </c>
      <c r="AG36" s="19">
        <f t="shared" si="39"/>
        <v>0</v>
      </c>
      <c r="AH36" s="19">
        <f t="shared" si="40"/>
        <v>0</v>
      </c>
      <c r="AI36" s="19">
        <f t="shared" si="41"/>
        <v>0</v>
      </c>
      <c r="AJ36" s="19">
        <f t="shared" si="42"/>
        <v>0</v>
      </c>
    </row>
    <row r="37" ht="15.75" customHeight="1">
      <c r="A37" s="6">
        <f t="shared" si="37"/>
        <v>0</v>
      </c>
      <c r="B37" s="5">
        <f>'G6'!A37</f>
        <v>0</v>
      </c>
      <c r="C37" s="5" t="str">
        <f>Tourn_Summary!C30</f>
        <v>FMP 13</v>
      </c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19"/>
      <c r="AF37" s="19">
        <f t="shared" si="38"/>
        <v>0</v>
      </c>
      <c r="AG37" s="19">
        <f t="shared" si="39"/>
        <v>0</v>
      </c>
      <c r="AH37" s="19">
        <f t="shared" si="40"/>
        <v>0</v>
      </c>
      <c r="AI37" s="19">
        <f t="shared" si="41"/>
        <v>0</v>
      </c>
      <c r="AJ37" s="19">
        <f t="shared" si="42"/>
        <v>0</v>
      </c>
    </row>
    <row r="38" ht="15.75" customHeight="1">
      <c r="C38" s="25" t="s">
        <v>17</v>
      </c>
      <c r="D38" s="28">
        <f t="shared" ref="D38:AD38" si="43">SUM(D25:D37)</f>
        <v>0</v>
      </c>
      <c r="E38" s="28">
        <f t="shared" si="43"/>
        <v>0</v>
      </c>
      <c r="F38" s="28">
        <f t="shared" si="43"/>
        <v>0</v>
      </c>
      <c r="G38" s="28">
        <f t="shared" si="43"/>
        <v>0</v>
      </c>
      <c r="H38" s="28">
        <f t="shared" si="43"/>
        <v>0</v>
      </c>
      <c r="I38" s="28">
        <f t="shared" si="43"/>
        <v>0</v>
      </c>
      <c r="J38" s="28">
        <f t="shared" si="43"/>
        <v>0</v>
      </c>
      <c r="K38" s="28">
        <f t="shared" si="43"/>
        <v>0</v>
      </c>
      <c r="L38" s="28">
        <f t="shared" si="43"/>
        <v>0</v>
      </c>
      <c r="M38" s="28">
        <f t="shared" si="43"/>
        <v>0</v>
      </c>
      <c r="N38" s="28">
        <f t="shared" si="43"/>
        <v>0</v>
      </c>
      <c r="O38" s="28">
        <f t="shared" si="43"/>
        <v>0</v>
      </c>
      <c r="P38" s="28">
        <f t="shared" si="43"/>
        <v>0</v>
      </c>
      <c r="Q38" s="28">
        <f t="shared" si="43"/>
        <v>0</v>
      </c>
      <c r="R38" s="28">
        <f t="shared" si="43"/>
        <v>0</v>
      </c>
      <c r="S38" s="28">
        <f t="shared" si="43"/>
        <v>0</v>
      </c>
      <c r="T38" s="28">
        <f t="shared" si="43"/>
        <v>0</v>
      </c>
      <c r="U38" s="28">
        <f t="shared" si="43"/>
        <v>0</v>
      </c>
      <c r="V38" s="28">
        <f t="shared" si="43"/>
        <v>0</v>
      </c>
      <c r="W38" s="28">
        <f t="shared" si="43"/>
        <v>0</v>
      </c>
      <c r="X38" s="28">
        <f t="shared" si="43"/>
        <v>0</v>
      </c>
      <c r="Y38" s="28">
        <f t="shared" si="43"/>
        <v>0</v>
      </c>
      <c r="Z38" s="28">
        <f t="shared" si="43"/>
        <v>0</v>
      </c>
      <c r="AA38" s="28">
        <f t="shared" si="43"/>
        <v>0</v>
      </c>
      <c r="AB38" s="28">
        <f t="shared" si="43"/>
        <v>0</v>
      </c>
      <c r="AC38" s="28">
        <f t="shared" si="43"/>
        <v>0</v>
      </c>
      <c r="AD38" s="28">
        <f t="shared" si="43"/>
        <v>0</v>
      </c>
    </row>
    <row r="39" ht="15.75" customHeight="1">
      <c r="C39" s="16"/>
    </row>
    <row r="40" ht="15.75" customHeight="1">
      <c r="C40" s="16" t="s">
        <v>109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C41" s="16" t="s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C42" s="16"/>
      <c r="I42" s="19"/>
      <c r="J42" s="19"/>
      <c r="K42" s="19"/>
      <c r="L42" s="19"/>
      <c r="O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5.75" customHeight="1">
      <c r="C43" s="16" t="s">
        <v>111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E44" s="16"/>
      <c r="AF44" s="16" t="s">
        <v>112</v>
      </c>
      <c r="AG44" s="16" t="s">
        <v>113</v>
      </c>
    </row>
    <row r="45" ht="15.75" customHeight="1">
      <c r="C45" s="16" t="s">
        <v>114</v>
      </c>
      <c r="D45" s="19" t="str">
        <f>IFS(AND(D5="O",D6=1),0,D5="D",0,AND(D5="O",D7=1),-1,ISBLANK(D6),)</f>
        <v/>
      </c>
      <c r="E45" s="19" t="str">
        <f t="shared" ref="E45:AD45" si="44">IFS(AND(E5="O",E6-D6=1),0,E5="D",0,AND(E5="O",E7-D7=1),-1,ISBLANK(E6),)</f>
        <v/>
      </c>
      <c r="F45" s="19" t="str">
        <f t="shared" si="44"/>
        <v/>
      </c>
      <c r="G45" s="19" t="str">
        <f t="shared" si="44"/>
        <v/>
      </c>
      <c r="H45" s="19" t="str">
        <f t="shared" si="44"/>
        <v/>
      </c>
      <c r="I45" s="19" t="str">
        <f t="shared" si="44"/>
        <v/>
      </c>
      <c r="J45" s="19" t="str">
        <f t="shared" si="44"/>
        <v/>
      </c>
      <c r="K45" s="19" t="str">
        <f t="shared" si="44"/>
        <v/>
      </c>
      <c r="L45" s="19" t="str">
        <f t="shared" si="44"/>
        <v/>
      </c>
      <c r="M45" s="19" t="str">
        <f t="shared" si="44"/>
        <v/>
      </c>
      <c r="N45" s="19" t="str">
        <f t="shared" si="44"/>
        <v/>
      </c>
      <c r="O45" s="19" t="str">
        <f t="shared" si="44"/>
        <v/>
      </c>
      <c r="P45" s="19" t="str">
        <f t="shared" si="44"/>
        <v/>
      </c>
      <c r="Q45" s="19" t="str">
        <f t="shared" si="44"/>
        <v/>
      </c>
      <c r="R45" s="19" t="str">
        <f t="shared" si="44"/>
        <v/>
      </c>
      <c r="S45" s="19" t="str">
        <f t="shared" si="44"/>
        <v/>
      </c>
      <c r="T45" s="19" t="str">
        <f t="shared" si="44"/>
        <v/>
      </c>
      <c r="U45" s="19" t="str">
        <f t="shared" si="44"/>
        <v/>
      </c>
      <c r="V45" s="19" t="str">
        <f t="shared" si="44"/>
        <v/>
      </c>
      <c r="W45" s="19" t="str">
        <f t="shared" si="44"/>
        <v/>
      </c>
      <c r="X45" s="19" t="str">
        <f t="shared" si="44"/>
        <v/>
      </c>
      <c r="Y45" s="19" t="str">
        <f t="shared" si="44"/>
        <v/>
      </c>
      <c r="Z45" s="19" t="str">
        <f t="shared" si="44"/>
        <v/>
      </c>
      <c r="AA45" s="19" t="str">
        <f t="shared" si="44"/>
        <v/>
      </c>
      <c r="AB45" s="19" t="str">
        <f t="shared" si="44"/>
        <v/>
      </c>
      <c r="AC45" s="19" t="str">
        <f t="shared" si="44"/>
        <v/>
      </c>
      <c r="AD45" s="19" t="str">
        <f t="shared" si="44"/>
        <v/>
      </c>
      <c r="AE45" s="19"/>
      <c r="AF45" s="19">
        <f t="shared" ref="AF45:AF46" si="46">SUM(D45:AD45)</f>
        <v>0</v>
      </c>
      <c r="AG45" s="19">
        <f>COUNTIF(D5:AD5,"O")</f>
        <v>0</v>
      </c>
      <c r="AH45" s="29" t="str">
        <f>IF(AG45=0,, 1-ABS(AF45)/AG45)</f>
        <v/>
      </c>
      <c r="AI45" s="16" t="s">
        <v>7</v>
      </c>
      <c r="AJ45" s="16"/>
    </row>
    <row r="46" ht="15.75" customHeight="1">
      <c r="C46" s="16" t="s">
        <v>115</v>
      </c>
      <c r="D46" s="19" t="str">
        <f>IFS(AND(D5="D",D7=1),0,D5="O",0,AND(D5="D",D6=1),1,ISBLANK(D6),)</f>
        <v/>
      </c>
      <c r="E46" s="19" t="str">
        <f t="shared" ref="E46:AD46" si="45">IFS(AND(E5="D",E7-D7=1),0,E5="O",0,AND(E5="D",E6-D6=1),1,ISBLANK(E6),)</f>
        <v/>
      </c>
      <c r="F46" s="19" t="str">
        <f t="shared" si="45"/>
        <v/>
      </c>
      <c r="G46" s="19" t="str">
        <f t="shared" si="45"/>
        <v/>
      </c>
      <c r="H46" s="19" t="str">
        <f t="shared" si="45"/>
        <v/>
      </c>
      <c r="I46" s="19" t="str">
        <f t="shared" si="45"/>
        <v/>
      </c>
      <c r="J46" s="19" t="str">
        <f t="shared" si="45"/>
        <v/>
      </c>
      <c r="K46" s="19" t="str">
        <f t="shared" si="45"/>
        <v/>
      </c>
      <c r="L46" s="19" t="str">
        <f t="shared" si="45"/>
        <v/>
      </c>
      <c r="M46" s="19" t="str">
        <f t="shared" si="45"/>
        <v/>
      </c>
      <c r="N46" s="19" t="str">
        <f t="shared" si="45"/>
        <v/>
      </c>
      <c r="O46" s="19" t="str">
        <f t="shared" si="45"/>
        <v/>
      </c>
      <c r="P46" s="19" t="str">
        <f t="shared" si="45"/>
        <v/>
      </c>
      <c r="Q46" s="19" t="str">
        <f t="shared" si="45"/>
        <v/>
      </c>
      <c r="R46" s="19" t="str">
        <f t="shared" si="45"/>
        <v/>
      </c>
      <c r="S46" s="19" t="str">
        <f t="shared" si="45"/>
        <v/>
      </c>
      <c r="T46" s="19" t="str">
        <f t="shared" si="45"/>
        <v/>
      </c>
      <c r="U46" s="19" t="str">
        <f t="shared" si="45"/>
        <v/>
      </c>
      <c r="V46" s="19" t="str">
        <f t="shared" si="45"/>
        <v/>
      </c>
      <c r="W46" s="19" t="str">
        <f t="shared" si="45"/>
        <v/>
      </c>
      <c r="X46" s="19" t="str">
        <f t="shared" si="45"/>
        <v/>
      </c>
      <c r="Y46" s="19" t="str">
        <f t="shared" si="45"/>
        <v/>
      </c>
      <c r="Z46" s="19" t="str">
        <f t="shared" si="45"/>
        <v/>
      </c>
      <c r="AA46" s="19" t="str">
        <f t="shared" si="45"/>
        <v/>
      </c>
      <c r="AB46" s="19" t="str">
        <f t="shared" si="45"/>
        <v/>
      </c>
      <c r="AC46" s="19" t="str">
        <f t="shared" si="45"/>
        <v/>
      </c>
      <c r="AD46" s="19" t="str">
        <f t="shared" si="45"/>
        <v/>
      </c>
      <c r="AE46" s="19"/>
      <c r="AF46" s="19">
        <f t="shared" si="46"/>
        <v>0</v>
      </c>
      <c r="AG46" s="19">
        <f>COUNTIF(D5:AD5,"D")</f>
        <v>0</v>
      </c>
      <c r="AH46" s="29" t="str">
        <f>IF(AG46=0,, AF46/AG46)</f>
        <v/>
      </c>
      <c r="AI46" s="16" t="s">
        <v>8</v>
      </c>
      <c r="AJ46" s="16"/>
    </row>
    <row r="47" ht="15.75" customHeight="1"/>
    <row r="48" ht="15.75" customHeight="1">
      <c r="A48" s="16"/>
      <c r="B48" s="16" t="s">
        <v>46</v>
      </c>
      <c r="C48" s="16" t="s">
        <v>1</v>
      </c>
      <c r="D48" s="16" t="s">
        <v>47</v>
      </c>
      <c r="E48" s="16" t="s">
        <v>48</v>
      </c>
      <c r="F48" s="16" t="s">
        <v>49</v>
      </c>
      <c r="G48" s="16" t="s">
        <v>50</v>
      </c>
      <c r="I48" s="30" t="s">
        <v>116</v>
      </c>
      <c r="J48" s="31"/>
      <c r="K48" s="31"/>
      <c r="L48" s="31"/>
      <c r="M48" s="32"/>
    </row>
    <row r="49" ht="15.75" customHeight="1">
      <c r="A49" s="25"/>
      <c r="B49" s="1" t="s">
        <v>0</v>
      </c>
      <c r="C49" s="1"/>
      <c r="D49" s="6"/>
      <c r="E49" s="6"/>
      <c r="F49" s="6"/>
      <c r="G49" s="6"/>
      <c r="I49" s="2" t="s">
        <v>117</v>
      </c>
      <c r="J49" s="2" t="s">
        <v>118</v>
      </c>
      <c r="K49" s="33"/>
      <c r="L49" s="2" t="s">
        <v>119</v>
      </c>
      <c r="M49" s="2" t="s">
        <v>118</v>
      </c>
    </row>
    <row r="50" ht="15.75" customHeight="1">
      <c r="A50" s="28"/>
      <c r="B50" s="5"/>
      <c r="C50" s="5" t="str">
        <f t="shared" ref="C50:C62" si="47">C9</f>
        <v>MMP 1</v>
      </c>
      <c r="D50" s="6">
        <f t="shared" ref="D50:D62" si="48">COUNTIF($D$40:$AD$40,C50)</f>
        <v>0</v>
      </c>
      <c r="E50" s="6">
        <f t="shared" ref="E50:E62" si="49">COUNTIF($D$41:$AD$41,C50)</f>
        <v>0</v>
      </c>
      <c r="F50" s="6"/>
      <c r="G50" s="6"/>
      <c r="I50" s="2" t="s">
        <v>120</v>
      </c>
      <c r="J50" s="6" t="s">
        <v>121</v>
      </c>
      <c r="K50" s="33"/>
      <c r="L50" s="2" t="s">
        <v>120</v>
      </c>
      <c r="M50" s="6" t="s">
        <v>121</v>
      </c>
    </row>
    <row r="51" ht="15.75" customHeight="1">
      <c r="A51" s="28"/>
      <c r="B51" s="5"/>
      <c r="C51" s="5" t="str">
        <f t="shared" si="47"/>
        <v>MMP 2</v>
      </c>
      <c r="D51" s="6">
        <f t="shared" si="48"/>
        <v>0</v>
      </c>
      <c r="E51" s="6">
        <f t="shared" si="49"/>
        <v>0</v>
      </c>
      <c r="F51" s="6"/>
      <c r="G51" s="6"/>
      <c r="I51" s="2" t="s">
        <v>122</v>
      </c>
      <c r="J51" s="6" t="s">
        <v>121</v>
      </c>
      <c r="K51" s="33"/>
      <c r="L51" s="2" t="s">
        <v>122</v>
      </c>
      <c r="M51" s="6" t="s">
        <v>121</v>
      </c>
    </row>
    <row r="52" ht="15.75" customHeight="1">
      <c r="A52" s="28"/>
      <c r="B52" s="5"/>
      <c r="C52" s="5" t="str">
        <f t="shared" si="47"/>
        <v>MMP 3</v>
      </c>
      <c r="D52" s="6">
        <f t="shared" si="48"/>
        <v>0</v>
      </c>
      <c r="E52" s="6">
        <f t="shared" si="49"/>
        <v>0</v>
      </c>
      <c r="F52" s="6"/>
      <c r="G52" s="6"/>
      <c r="I52" s="2" t="s">
        <v>123</v>
      </c>
      <c r="J52" s="6"/>
      <c r="K52" s="33"/>
      <c r="L52" s="2" t="s">
        <v>123</v>
      </c>
      <c r="M52" s="6"/>
    </row>
    <row r="53" ht="15.75" customHeight="1">
      <c r="A53" s="28"/>
      <c r="B53" s="5"/>
      <c r="C53" s="5" t="str">
        <f t="shared" si="47"/>
        <v>MMP 4</v>
      </c>
      <c r="D53" s="6">
        <f t="shared" si="48"/>
        <v>0</v>
      </c>
      <c r="E53" s="6">
        <f t="shared" si="49"/>
        <v>0</v>
      </c>
      <c r="F53" s="6"/>
      <c r="G53" s="6"/>
      <c r="I53" s="2" t="s">
        <v>120</v>
      </c>
      <c r="J53" s="6" t="s">
        <v>121</v>
      </c>
      <c r="K53" s="33"/>
      <c r="L53" s="2" t="s">
        <v>120</v>
      </c>
      <c r="M53" s="6" t="s">
        <v>121</v>
      </c>
    </row>
    <row r="54" ht="15.75" customHeight="1">
      <c r="A54" s="28"/>
      <c r="B54" s="5"/>
      <c r="C54" s="5" t="str">
        <f t="shared" si="47"/>
        <v>MMP 5</v>
      </c>
      <c r="D54" s="6">
        <f t="shared" si="48"/>
        <v>0</v>
      </c>
      <c r="E54" s="6">
        <f t="shared" si="49"/>
        <v>0</v>
      </c>
      <c r="F54" s="6"/>
      <c r="G54" s="6"/>
      <c r="I54" s="2" t="s">
        <v>122</v>
      </c>
      <c r="J54" s="6" t="s">
        <v>121</v>
      </c>
      <c r="K54" s="34"/>
      <c r="L54" s="2" t="s">
        <v>122</v>
      </c>
      <c r="M54" s="6" t="s">
        <v>121</v>
      </c>
    </row>
    <row r="55" ht="15.75" customHeight="1">
      <c r="A55" s="28"/>
      <c r="B55" s="5"/>
      <c r="C55" s="5" t="str">
        <f t="shared" si="47"/>
        <v>MMP 6</v>
      </c>
      <c r="D55" s="6">
        <f t="shared" si="48"/>
        <v>0</v>
      </c>
      <c r="E55" s="6">
        <f t="shared" si="49"/>
        <v>0</v>
      </c>
      <c r="F55" s="6"/>
      <c r="G55" s="6"/>
    </row>
    <row r="56" ht="15.75" customHeight="1">
      <c r="A56" s="28"/>
      <c r="B56" s="5"/>
      <c r="C56" s="5" t="str">
        <f t="shared" si="47"/>
        <v>MMP 7</v>
      </c>
      <c r="D56" s="6">
        <f t="shared" si="48"/>
        <v>0</v>
      </c>
      <c r="E56" s="6">
        <f t="shared" si="49"/>
        <v>0</v>
      </c>
      <c r="F56" s="6"/>
      <c r="G56" s="6"/>
      <c r="I56" s="35" t="s">
        <v>124</v>
      </c>
      <c r="J56" s="36"/>
      <c r="K56" s="36"/>
      <c r="L56" s="36"/>
      <c r="M56" s="37"/>
    </row>
    <row r="57" ht="15.75" customHeight="1">
      <c r="A57" s="28"/>
      <c r="B57" s="5"/>
      <c r="C57" s="5" t="str">
        <f t="shared" si="47"/>
        <v>MMP 8</v>
      </c>
      <c r="D57" s="6">
        <f t="shared" si="48"/>
        <v>0</v>
      </c>
      <c r="E57" s="6">
        <f t="shared" si="49"/>
        <v>0</v>
      </c>
      <c r="F57" s="6"/>
      <c r="G57" s="6"/>
      <c r="I57" s="38" t="s">
        <v>125</v>
      </c>
      <c r="J57" s="36"/>
      <c r="K57" s="36"/>
      <c r="L57" s="36"/>
      <c r="M57" s="37"/>
    </row>
    <row r="58" ht="15.75" customHeight="1">
      <c r="A58" s="28"/>
      <c r="B58" s="5"/>
      <c r="C58" s="5" t="str">
        <f t="shared" si="47"/>
        <v>MMP 9</v>
      </c>
      <c r="D58" s="6">
        <f t="shared" si="48"/>
        <v>0</v>
      </c>
      <c r="E58" s="6">
        <f t="shared" si="49"/>
        <v>0</v>
      </c>
      <c r="F58" s="6"/>
      <c r="G58" s="6"/>
      <c r="I58" s="39" t="s">
        <v>126</v>
      </c>
      <c r="M58" s="40"/>
    </row>
    <row r="59" ht="15.75" customHeight="1">
      <c r="A59" s="28"/>
      <c r="B59" s="5"/>
      <c r="C59" s="5" t="str">
        <f t="shared" si="47"/>
        <v>MMP 10</v>
      </c>
      <c r="D59" s="6">
        <f t="shared" si="48"/>
        <v>0</v>
      </c>
      <c r="E59" s="6">
        <f t="shared" si="49"/>
        <v>0</v>
      </c>
      <c r="F59" s="6"/>
      <c r="G59" s="6"/>
      <c r="I59" s="39" t="s">
        <v>127</v>
      </c>
      <c r="M59" s="40"/>
    </row>
    <row r="60" ht="15.75" customHeight="1">
      <c r="A60" s="28"/>
      <c r="B60" s="5"/>
      <c r="C60" s="5" t="str">
        <f t="shared" si="47"/>
        <v>MMP 11</v>
      </c>
      <c r="D60" s="6">
        <f t="shared" si="48"/>
        <v>0</v>
      </c>
      <c r="E60" s="6">
        <f t="shared" si="49"/>
        <v>0</v>
      </c>
      <c r="F60" s="6"/>
      <c r="G60" s="6"/>
      <c r="I60" s="39" t="s">
        <v>128</v>
      </c>
      <c r="M60" s="40"/>
    </row>
    <row r="61" ht="15.75" customHeight="1">
      <c r="A61" s="28"/>
      <c r="B61" s="5"/>
      <c r="C61" s="5" t="str">
        <f t="shared" si="47"/>
        <v>MMP 12</v>
      </c>
      <c r="D61" s="6">
        <f t="shared" si="48"/>
        <v>0</v>
      </c>
      <c r="E61" s="6">
        <f t="shared" si="49"/>
        <v>0</v>
      </c>
      <c r="F61" s="6"/>
      <c r="G61" s="6"/>
      <c r="I61" s="39" t="s">
        <v>129</v>
      </c>
      <c r="M61" s="40"/>
    </row>
    <row r="62" ht="15.75" customHeight="1">
      <c r="A62" s="28"/>
      <c r="B62" s="5"/>
      <c r="C62" s="5" t="str">
        <f t="shared" si="47"/>
        <v>MMP 13</v>
      </c>
      <c r="D62" s="6">
        <f t="shared" si="48"/>
        <v>0</v>
      </c>
      <c r="E62" s="6">
        <f t="shared" si="49"/>
        <v>0</v>
      </c>
      <c r="F62" s="6"/>
      <c r="G62" s="6"/>
      <c r="I62" s="41" t="s">
        <v>130</v>
      </c>
      <c r="J62" s="42"/>
      <c r="K62" s="42"/>
      <c r="L62" s="42"/>
      <c r="M62" s="43"/>
    </row>
    <row r="63" ht="15.75" customHeight="1">
      <c r="A63" s="25"/>
      <c r="B63" s="1" t="s">
        <v>32</v>
      </c>
      <c r="C63" s="1"/>
    </row>
    <row r="64" ht="15.75" customHeight="1">
      <c r="A64" s="28"/>
      <c r="B64" s="5"/>
      <c r="C64" s="5" t="str">
        <f t="shared" ref="C64:C76" si="50">C25</f>
        <v>FMP 1</v>
      </c>
      <c r="D64" s="6">
        <f t="shared" ref="D64:D76" si="51">COUNTIF($D$40:$AD$40,C64)</f>
        <v>0</v>
      </c>
      <c r="E64" s="6">
        <f t="shared" ref="E64:E76" si="52">COUNTIF($D$41:$AD$41,C64)</f>
        <v>0</v>
      </c>
      <c r="F64" s="6"/>
      <c r="G64" s="6"/>
    </row>
    <row r="65" ht="15.75" customHeight="1">
      <c r="A65" s="28"/>
      <c r="B65" s="5"/>
      <c r="C65" s="5" t="str">
        <f t="shared" si="50"/>
        <v>FMP 2</v>
      </c>
      <c r="D65" s="6">
        <f t="shared" si="51"/>
        <v>0</v>
      </c>
      <c r="E65" s="6">
        <f t="shared" si="52"/>
        <v>0</v>
      </c>
      <c r="F65" s="6"/>
      <c r="G65" s="6"/>
    </row>
    <row r="66" ht="15.75" customHeight="1">
      <c r="A66" s="28"/>
      <c r="B66" s="5"/>
      <c r="C66" s="5" t="str">
        <f t="shared" si="50"/>
        <v>FMP 3</v>
      </c>
      <c r="D66" s="6">
        <f t="shared" si="51"/>
        <v>0</v>
      </c>
      <c r="E66" s="6">
        <f t="shared" si="52"/>
        <v>0</v>
      </c>
      <c r="F66" s="6"/>
      <c r="G66" s="6"/>
    </row>
    <row r="67" ht="15.75" customHeight="1">
      <c r="A67" s="28"/>
      <c r="B67" s="5"/>
      <c r="C67" s="5" t="str">
        <f t="shared" si="50"/>
        <v>FMP 4</v>
      </c>
      <c r="D67" s="6">
        <f t="shared" si="51"/>
        <v>0</v>
      </c>
      <c r="E67" s="6">
        <f t="shared" si="52"/>
        <v>0</v>
      </c>
      <c r="F67" s="6"/>
      <c r="G67" s="6"/>
    </row>
    <row r="68" ht="15.75" customHeight="1">
      <c r="A68" s="28"/>
      <c r="B68" s="5"/>
      <c r="C68" s="5" t="str">
        <f t="shared" si="50"/>
        <v>FMP 5</v>
      </c>
      <c r="D68" s="6">
        <f t="shared" si="51"/>
        <v>0</v>
      </c>
      <c r="E68" s="6">
        <f t="shared" si="52"/>
        <v>0</v>
      </c>
      <c r="F68" s="6"/>
      <c r="G68" s="6"/>
    </row>
    <row r="69" ht="15.75" customHeight="1">
      <c r="A69" s="28"/>
      <c r="B69" s="5"/>
      <c r="C69" s="5" t="str">
        <f t="shared" si="50"/>
        <v>FMP 6</v>
      </c>
      <c r="D69" s="6">
        <f t="shared" si="51"/>
        <v>0</v>
      </c>
      <c r="E69" s="6">
        <f t="shared" si="52"/>
        <v>0</v>
      </c>
      <c r="F69" s="6"/>
      <c r="G69" s="6"/>
    </row>
    <row r="70" ht="15.75" customHeight="1">
      <c r="A70" s="28"/>
      <c r="B70" s="5"/>
      <c r="C70" s="5" t="str">
        <f t="shared" si="50"/>
        <v>FMP 7</v>
      </c>
      <c r="D70" s="6">
        <f t="shared" si="51"/>
        <v>0</v>
      </c>
      <c r="E70" s="6">
        <f t="shared" si="52"/>
        <v>0</v>
      </c>
      <c r="F70" s="6"/>
      <c r="G70" s="6"/>
    </row>
    <row r="71" ht="15.75" customHeight="1">
      <c r="A71" s="28"/>
      <c r="B71" s="5"/>
      <c r="C71" s="5" t="str">
        <f t="shared" si="50"/>
        <v>FMP 8</v>
      </c>
      <c r="D71" s="6">
        <f t="shared" si="51"/>
        <v>0</v>
      </c>
      <c r="E71" s="6">
        <f t="shared" si="52"/>
        <v>0</v>
      </c>
      <c r="F71" s="6"/>
      <c r="G71" s="6"/>
    </row>
    <row r="72" ht="15.75" customHeight="1">
      <c r="A72" s="28"/>
      <c r="B72" s="5"/>
      <c r="C72" s="5" t="str">
        <f t="shared" si="50"/>
        <v>FMP 9</v>
      </c>
      <c r="D72" s="6">
        <f t="shared" si="51"/>
        <v>0</v>
      </c>
      <c r="E72" s="6">
        <f t="shared" si="52"/>
        <v>0</v>
      </c>
      <c r="F72" s="6"/>
      <c r="G72" s="6"/>
    </row>
    <row r="73" ht="15.75" customHeight="1">
      <c r="A73" s="28"/>
      <c r="B73" s="5"/>
      <c r="C73" s="5" t="str">
        <f t="shared" si="50"/>
        <v>FMP 10</v>
      </c>
      <c r="D73" s="6">
        <f t="shared" si="51"/>
        <v>0</v>
      </c>
      <c r="E73" s="6">
        <f t="shared" si="52"/>
        <v>0</v>
      </c>
      <c r="F73" s="6"/>
      <c r="G73" s="6"/>
    </row>
    <row r="74" ht="15.75" customHeight="1">
      <c r="A74" s="28"/>
      <c r="B74" s="5"/>
      <c r="C74" s="5" t="str">
        <f t="shared" si="50"/>
        <v>FMP 11</v>
      </c>
      <c r="D74" s="6">
        <f t="shared" si="51"/>
        <v>0</v>
      </c>
      <c r="E74" s="6">
        <f t="shared" si="52"/>
        <v>0</v>
      </c>
      <c r="F74" s="6"/>
      <c r="G74" s="6"/>
    </row>
    <row r="75" ht="15.75" customHeight="1">
      <c r="A75" s="28"/>
      <c r="B75" s="5"/>
      <c r="C75" s="5" t="str">
        <f t="shared" si="50"/>
        <v>FMP 12</v>
      </c>
      <c r="D75" s="6">
        <f t="shared" si="51"/>
        <v>0</v>
      </c>
      <c r="E75" s="6">
        <f t="shared" si="52"/>
        <v>0</v>
      </c>
      <c r="F75" s="6"/>
      <c r="G75" s="6"/>
    </row>
    <row r="76" ht="15.75" customHeight="1">
      <c r="A76" s="28"/>
      <c r="B76" s="5"/>
      <c r="C76" s="5" t="str">
        <f t="shared" si="50"/>
        <v>FMP 13</v>
      </c>
      <c r="D76" s="6">
        <f t="shared" si="51"/>
        <v>0</v>
      </c>
      <c r="E76" s="6">
        <f t="shared" si="52"/>
        <v>0</v>
      </c>
      <c r="F76" s="6"/>
      <c r="G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">
    <mergeCell ref="I48:M48"/>
    <mergeCell ref="I56:M56"/>
    <mergeCell ref="I57:M57"/>
    <mergeCell ref="I58:M58"/>
    <mergeCell ref="I59:M59"/>
    <mergeCell ref="I60:M60"/>
    <mergeCell ref="I61:M61"/>
    <mergeCell ref="I62:M62"/>
  </mergeCells>
  <conditionalFormatting sqref="C9:C21 C25:C37 C50:C62 C64:C76">
    <cfRule type="containsText" dxfId="8" priority="1" operator="containsText" text="(*/*)">
      <formula>NOT(ISERROR(SEARCH(("(*/*)"),(C9))))</formula>
    </cfRule>
  </conditionalFormatting>
  <conditionalFormatting sqref="C9:C21 C25:C37 C50:C62 C64:C76">
    <cfRule type="containsText" dxfId="2" priority="2" operator="containsText" text="(*O)">
      <formula>NOT(ISERROR(SEARCH(("(*O)"),(C9))))</formula>
    </cfRule>
  </conditionalFormatting>
  <conditionalFormatting sqref="C9:C21 C25:C37 C50:C62 C64:C76">
    <cfRule type="containsText" dxfId="9" priority="3" operator="containsText" text="(*D)">
      <formula>NOT(ISERROR(SEARCH(("(*D)"),(C9))))</formula>
    </cfRule>
  </conditionalFormatting>
  <conditionalFormatting sqref="D40:AD41">
    <cfRule type="notContainsBlanks" dxfId="1" priority="4">
      <formula>LEN(TRIM(D40))&gt;0</formula>
    </cfRule>
  </conditionalFormatting>
  <conditionalFormatting sqref="D40:AD41">
    <cfRule type="expression" dxfId="10" priority="5">
      <formula>NOT(ISBLANK(D$43))</formula>
    </cfRule>
  </conditionalFormatting>
  <conditionalFormatting sqref="E40:AD41">
    <cfRule type="expression" dxfId="11" priority="6">
      <formula>NOT(ISBLANK(E$5))</formula>
    </cfRule>
  </conditionalFormatting>
  <conditionalFormatting sqref="D43:AD43">
    <cfRule type="notContainsBlanks" dxfId="4" priority="7">
      <formula>LEN(TRIM(D43))&gt;0</formula>
    </cfRule>
  </conditionalFormatting>
  <conditionalFormatting sqref="D43:AD43">
    <cfRule type="expression" dxfId="10" priority="8">
      <formula>NOT(ISBLANK(D40))</formula>
    </cfRule>
  </conditionalFormatting>
  <conditionalFormatting sqref="E43:AD43">
    <cfRule type="expression" dxfId="11" priority="9">
      <formula>NOT(ISBLANK(E$5))</formula>
    </cfRule>
  </conditionalFormatting>
  <conditionalFormatting sqref="D43">
    <cfRule type="expression" dxfId="11" priority="10">
      <formula>NOT(ISBLANK(D$5))</formula>
    </cfRule>
  </conditionalFormatting>
  <conditionalFormatting sqref="D43:AD43">
    <cfRule type="expression" dxfId="10" priority="11">
      <formula>ISBLANK(D7)</formula>
    </cfRule>
  </conditionalFormatting>
  <conditionalFormatting sqref="D40:D41">
    <cfRule type="expression" dxfId="11" priority="12">
      <formula>NOT(ISBLANK(D$5))</formula>
    </cfRule>
  </conditionalFormatting>
  <conditionalFormatting sqref="D40:AD41">
    <cfRule type="expression" dxfId="10" priority="13">
      <formula>ISBLANK(D$6)</formula>
    </cfRule>
  </conditionalFormatting>
  <conditionalFormatting sqref="D5:AD5">
    <cfRule type="containsText" dxfId="1" priority="14" operator="containsText" text="O">
      <formula>NOT(ISERROR(SEARCH(("O"),(D5))))</formula>
    </cfRule>
  </conditionalFormatting>
  <conditionalFormatting sqref="D5:AD5">
    <cfRule type="containsText" dxfId="2" priority="15" operator="containsText" text="D">
      <formula>NOT(ISERROR(SEARCH(("D"),(D5))))</formula>
    </cfRule>
  </conditionalFormatting>
  <conditionalFormatting sqref="D9:AD21 D25:AD37">
    <cfRule type="expression" dxfId="12" priority="16">
      <formula>$AE9 = "No"</formula>
    </cfRule>
  </conditionalFormatting>
  <conditionalFormatting sqref="H9:AD21">
    <cfRule type="cellIs" dxfId="13" priority="17" operator="equal">
      <formula>1</formula>
    </cfRule>
  </conditionalFormatting>
  <conditionalFormatting sqref="H9:AD21">
    <cfRule type="expression" dxfId="14" priority="18">
      <formula> (D9+E9+F9+G9) &gt; 1</formula>
    </cfRule>
  </conditionalFormatting>
  <conditionalFormatting sqref="H9:AD21">
    <cfRule type="expression" dxfId="10" priority="19">
      <formula>SUM(H$9:H$21) = H$3</formula>
    </cfRule>
  </conditionalFormatting>
  <conditionalFormatting sqref="H9:AD21">
    <cfRule type="expression" dxfId="15" priority="20">
      <formula>D9 = 1</formula>
    </cfRule>
  </conditionalFormatting>
  <conditionalFormatting sqref="H9:AD21">
    <cfRule type="expression" dxfId="11" priority="21">
      <formula>AND(SUM(G$9:G$21) = G$3,ISBLANK(G9), ISBLANK(F9))</formula>
    </cfRule>
  </conditionalFormatting>
  <conditionalFormatting sqref="D22:AD22">
    <cfRule type="cellIs" dxfId="16" priority="22" operator="notEqual">
      <formula>D$3</formula>
    </cfRule>
  </conditionalFormatting>
  <conditionalFormatting sqref="D22:AD22">
    <cfRule type="cellIs" dxfId="17" priority="23" operator="equal">
      <formula>D$3</formula>
    </cfRule>
  </conditionalFormatting>
  <conditionalFormatting sqref="H25:AD37">
    <cfRule type="cellIs" dxfId="13" priority="24" operator="equal">
      <formula>1</formula>
    </cfRule>
  </conditionalFormatting>
  <conditionalFormatting sqref="H25:AD37">
    <cfRule type="expression" dxfId="14" priority="25">
      <formula>(D25 +E25 + F25 + G25) &gt; 1</formula>
    </cfRule>
  </conditionalFormatting>
  <conditionalFormatting sqref="D38:AD38">
    <cfRule type="cellIs" dxfId="16" priority="26" operator="notEqual">
      <formula>D$4</formula>
    </cfRule>
  </conditionalFormatting>
  <conditionalFormatting sqref="D38:AD38">
    <cfRule type="cellIs" dxfId="17" priority="27" operator="equal">
      <formula>D$4</formula>
    </cfRule>
  </conditionalFormatting>
  <conditionalFormatting sqref="D9:D21">
    <cfRule type="cellIs" dxfId="13" priority="28" operator="equal">
      <formula>1</formula>
    </cfRule>
  </conditionalFormatting>
  <conditionalFormatting sqref="D9:D21">
    <cfRule type="expression" dxfId="14" priority="29">
      <formula>SUM(D$9:D$21) = D$3</formula>
    </cfRule>
  </conditionalFormatting>
  <conditionalFormatting sqref="E9:E21">
    <cfRule type="cellIs" dxfId="13" priority="30" operator="equal">
      <formula>1</formula>
    </cfRule>
  </conditionalFormatting>
  <conditionalFormatting sqref="E9:E21">
    <cfRule type="expression" dxfId="14" priority="31">
      <formula>($D9+$E9+$F9+$G9) &gt;0</formula>
    </cfRule>
  </conditionalFormatting>
  <conditionalFormatting sqref="E9:E21">
    <cfRule type="expression" dxfId="14" priority="32">
      <formula>SUM(E$9:E$21) = E$3</formula>
    </cfRule>
  </conditionalFormatting>
  <conditionalFormatting sqref="E9:E21">
    <cfRule type="expression" dxfId="11" priority="33">
      <formula>AND(SUM(D$9:D$21) = D$3,ISBLANK(D9))</formula>
    </cfRule>
  </conditionalFormatting>
  <conditionalFormatting sqref="F9:F21">
    <cfRule type="cellIs" dxfId="13" priority="34" operator="equal">
      <formula>1</formula>
    </cfRule>
  </conditionalFormatting>
  <conditionalFormatting sqref="F9:F21">
    <cfRule type="expression" dxfId="14" priority="35">
      <formula>($D9+$E9+$F9+$G9) &gt;0</formula>
    </cfRule>
  </conditionalFormatting>
  <conditionalFormatting sqref="F9:F21">
    <cfRule type="expression" dxfId="14" priority="36">
      <formula>SUM(F$9:F$21) = F$3</formula>
    </cfRule>
  </conditionalFormatting>
  <conditionalFormatting sqref="F9:F21">
    <cfRule type="expression" dxfId="18" priority="37">
      <formula>AND(SUM(E$9:E$21) = E$3,ISBLANK(E9))</formula>
    </cfRule>
  </conditionalFormatting>
  <conditionalFormatting sqref="G9:G21">
    <cfRule type="cellIs" dxfId="13" priority="38" operator="equal">
      <formula>1</formula>
    </cfRule>
  </conditionalFormatting>
  <conditionalFormatting sqref="G9:G21">
    <cfRule type="expression" dxfId="14" priority="39">
      <formula>($E9+$F9+$G9) &gt;0</formula>
    </cfRule>
  </conditionalFormatting>
  <conditionalFormatting sqref="G9:G21">
    <cfRule type="expression" dxfId="14" priority="40">
      <formula>SUM(G$9:G$21) = G$3</formula>
    </cfRule>
  </conditionalFormatting>
  <conditionalFormatting sqref="G9:G21">
    <cfRule type="expression" dxfId="15" priority="41">
      <formula>AND(SUM($D9:$F9) &lt; 1,$F$22 = $F$3)</formula>
    </cfRule>
  </conditionalFormatting>
  <conditionalFormatting sqref="G9:G21">
    <cfRule type="expression" dxfId="11" priority="42">
      <formula>AND(SUM(F$9:F$21) = F$3,ISBLANK(F9), ISBLANK(E9))</formula>
    </cfRule>
  </conditionalFormatting>
  <conditionalFormatting sqref="D25:D37">
    <cfRule type="cellIs" dxfId="13" priority="43" operator="equal">
      <formula>1</formula>
    </cfRule>
  </conditionalFormatting>
  <conditionalFormatting sqref="D25:D37">
    <cfRule type="expression" dxfId="14" priority="44">
      <formula>SUM(D$25:D$37) = D$4</formula>
    </cfRule>
  </conditionalFormatting>
  <conditionalFormatting sqref="E25:E37">
    <cfRule type="cellIs" dxfId="13" priority="45" operator="equal">
      <formula>1</formula>
    </cfRule>
  </conditionalFormatting>
  <conditionalFormatting sqref="E25:E37">
    <cfRule type="expression" dxfId="14" priority="46">
      <formula>($D25+$E25+$F25+$G25) &gt;0</formula>
    </cfRule>
  </conditionalFormatting>
  <conditionalFormatting sqref="E25:E37">
    <cfRule type="expression" dxfId="14" priority="47">
      <formula>SUM(E$25:E$37) = E$4</formula>
    </cfRule>
  </conditionalFormatting>
  <conditionalFormatting sqref="E25:E37">
    <cfRule type="expression" dxfId="18" priority="48">
      <formula>AND(SUM(D$25:D$37) = D$4,ISBLANK(D25))</formula>
    </cfRule>
  </conditionalFormatting>
  <conditionalFormatting sqref="F25:F37">
    <cfRule type="cellIs" dxfId="13" priority="49" operator="equal">
      <formula>1</formula>
    </cfRule>
  </conditionalFormatting>
  <conditionalFormatting sqref="F25:F37">
    <cfRule type="expression" dxfId="14" priority="50">
      <formula>($D25+$E25+$F25+$G25) &gt;0</formula>
    </cfRule>
  </conditionalFormatting>
  <conditionalFormatting sqref="F25:F37">
    <cfRule type="expression" dxfId="14" priority="51">
      <formula>SUM(F$25:F$37) = F$4</formula>
    </cfRule>
  </conditionalFormatting>
  <conditionalFormatting sqref="F25:F37">
    <cfRule type="expression" dxfId="18" priority="52">
      <formula>AND(SUM(E$25:E$37) = E$4,ISBLANK(E25))</formula>
    </cfRule>
  </conditionalFormatting>
  <conditionalFormatting sqref="G25:G37">
    <cfRule type="cellIs" dxfId="13" priority="53" operator="equal">
      <formula>1</formula>
    </cfRule>
  </conditionalFormatting>
  <conditionalFormatting sqref="G25:G37">
    <cfRule type="expression" dxfId="14" priority="54">
      <formula>($E25+$F25+$G25) &gt;0</formula>
    </cfRule>
  </conditionalFormatting>
  <conditionalFormatting sqref="G25:G37">
    <cfRule type="expression" dxfId="14" priority="55">
      <formula>SUM(G$25:G$37) = G$4</formula>
    </cfRule>
  </conditionalFormatting>
  <conditionalFormatting sqref="G25:G37">
    <cfRule type="expression" dxfId="15" priority="56">
      <formula>AND(SUM($D25:$F25) &lt; 1,$F$38 = $F$4)</formula>
    </cfRule>
  </conditionalFormatting>
  <conditionalFormatting sqref="G25:G37">
    <cfRule type="expression" dxfId="11" priority="57">
      <formula>AND(SUM(F$25:F$37) = F$4,ISBLANK(F25), ISBLANK(E25))</formula>
    </cfRule>
  </conditionalFormatting>
  <conditionalFormatting sqref="H25:AD37">
    <cfRule type="expression" dxfId="14" priority="58">
      <formula>SUM(H$25:H$37) = H$4</formula>
    </cfRule>
  </conditionalFormatting>
  <conditionalFormatting sqref="H25:AD37">
    <cfRule type="expression" dxfId="15" priority="59">
      <formula> D25 = 1</formula>
    </cfRule>
  </conditionalFormatting>
  <conditionalFormatting sqref="H25:AD37">
    <cfRule type="expression" dxfId="11" priority="60">
      <formula>AND(SUM(G$25:G$37) = G$4,ISBLANK(G25),ISBLANK(F25))</formula>
    </cfRule>
  </conditionalFormatting>
  <dataValidations>
    <dataValidation type="list" allowBlank="1" showDropDown="1" showErrorMessage="1" sqref="G2">
      <formula1>"Up,Down"</formula1>
    </dataValidation>
    <dataValidation type="list" allowBlank="1" showDropDown="1" showErrorMessage="1" sqref="D6:AD7">
      <formula1>"0,1,2,3,4,5,6,7,8,9,10,11,12,13,14,15"</formula1>
    </dataValidation>
    <dataValidation type="list" allowBlank="1" showDropDown="1" showErrorMessage="1" sqref="F50:G62 F64:G76">
      <formula1>"0,1,2,3,4,5,6,7,8,9,10"</formula1>
    </dataValidation>
    <dataValidation type="list" allowBlank="1" showDropDown="1" showErrorMessage="1" sqref="D3">
      <formula1>"3,4"</formula1>
    </dataValidation>
    <dataValidation type="list" allowBlank="1" showDropDown="1" showErrorMessage="1" sqref="D43:AD43">
      <formula1>"Yes"</formula1>
    </dataValidation>
    <dataValidation type="list" allowBlank="1" showDropDown="1" showErrorMessage="1" sqref="J50:J51 M50:M51 J53:J54 M53:M54">
      <formula1>"Yes,No"</formula1>
    </dataValidation>
    <dataValidation type="list" allowBlank="1" showDropDown="1" showErrorMessage="1" sqref="O2">
      <formula1>"3,4,5,6,7,8"</formula1>
    </dataValidation>
    <dataValidation type="list" allowBlank="1" showDropDown="1" showErrorMessage="1" sqref="D9:AD21 D25:AD37">
      <formula1>"1"</formula1>
    </dataValidation>
    <dataValidation type="list" allowBlank="1" showDropDown="1" showErrorMessage="1" sqref="AE9:AE21 AE25:AE37">
      <formula1>"N"</formula1>
    </dataValidation>
    <dataValidation type="list" allowBlank="1" showDropDown="1" showErrorMessage="1" sqref="D40:AD41">
      <formula1>'G7'!$C$50:$C$76</formula1>
    </dataValidation>
    <dataValidation type="list" allowBlank="1" showDropDown="1" showErrorMessage="1" sqref="D2">
      <formula1>"Offense,Defense"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29"/>
    <col customWidth="1" min="2" max="2" width="8.0"/>
    <col customWidth="1" min="3" max="3" width="11.57"/>
    <col customWidth="1" min="4" max="7" width="13.86"/>
    <col customWidth="1" min="8" max="24" width="4.86"/>
    <col customWidth="1" min="25" max="28" width="5.14"/>
  </cols>
  <sheetData>
    <row r="1" ht="15.75" customHeight="1">
      <c r="A1" s="16"/>
      <c r="B1" s="16"/>
      <c r="C1" s="45" t="s">
        <v>1</v>
      </c>
      <c r="D1" s="46" t="s">
        <v>47</v>
      </c>
      <c r="E1" s="46" t="s">
        <v>48</v>
      </c>
      <c r="F1" s="46" t="s">
        <v>49</v>
      </c>
      <c r="G1" s="47" t="s">
        <v>50</v>
      </c>
      <c r="AA1" s="22"/>
      <c r="AB1" s="22"/>
    </row>
    <row r="2" ht="15.75" customHeight="1">
      <c r="A2" s="25"/>
      <c r="B2" s="25"/>
      <c r="C2" s="45" t="s">
        <v>0</v>
      </c>
      <c r="D2" s="46"/>
      <c r="E2" s="46"/>
      <c r="F2" s="46"/>
      <c r="G2" s="47"/>
      <c r="AA2" s="22"/>
      <c r="AB2" s="22"/>
    </row>
    <row r="3" ht="15.75" customHeight="1">
      <c r="A3" s="28"/>
      <c r="B3" s="28"/>
      <c r="C3" s="48" t="str">
        <f>Tourn_Summary!C4</f>
        <v>MMP 1</v>
      </c>
      <c r="D3" s="49"/>
      <c r="E3" s="49"/>
      <c r="F3" s="49"/>
      <c r="G3" s="49"/>
      <c r="AA3" s="22"/>
      <c r="AB3" s="22"/>
    </row>
    <row r="4" ht="15.75" customHeight="1">
      <c r="A4" s="28"/>
      <c r="B4" s="28"/>
      <c r="C4" s="48" t="str">
        <f>Tourn_Summary!C5</f>
        <v>MMP 2</v>
      </c>
      <c r="D4" s="6"/>
      <c r="E4" s="6"/>
      <c r="F4" s="6"/>
      <c r="G4" s="6"/>
      <c r="AA4" s="22"/>
      <c r="AB4" s="22"/>
    </row>
    <row r="5" ht="15.75" customHeight="1">
      <c r="A5" s="28"/>
      <c r="B5" s="28"/>
      <c r="C5" s="48" t="str">
        <f>Tourn_Summary!C6</f>
        <v>MMP 3</v>
      </c>
      <c r="D5" s="6"/>
      <c r="E5" s="6"/>
      <c r="F5" s="6"/>
      <c r="G5" s="6"/>
      <c r="AA5" s="22"/>
      <c r="AB5" s="22"/>
    </row>
    <row r="6" ht="15.75" customHeight="1">
      <c r="A6" s="28"/>
      <c r="B6" s="28"/>
      <c r="C6" s="48" t="str">
        <f>Tourn_Summary!C7</f>
        <v>MMP 4</v>
      </c>
      <c r="D6" s="6"/>
      <c r="E6" s="6"/>
      <c r="F6" s="6"/>
      <c r="G6" s="6"/>
      <c r="AA6" s="22"/>
      <c r="AB6" s="22"/>
    </row>
    <row r="7" ht="15.75" customHeight="1">
      <c r="A7" s="28"/>
      <c r="B7" s="28"/>
      <c r="C7" s="48" t="str">
        <f>Tourn_Summary!C8</f>
        <v>MMP 5</v>
      </c>
      <c r="D7" s="6"/>
      <c r="E7" s="6"/>
      <c r="F7" s="6"/>
      <c r="G7" s="6"/>
      <c r="AA7" s="22"/>
      <c r="AB7" s="22"/>
    </row>
    <row r="8" ht="15.75" customHeight="1">
      <c r="A8" s="28"/>
      <c r="B8" s="28"/>
      <c r="C8" s="48" t="str">
        <f>Tourn_Summary!C9</f>
        <v>MMP 6</v>
      </c>
      <c r="D8" s="6"/>
      <c r="E8" s="6"/>
      <c r="F8" s="6"/>
      <c r="G8" s="6"/>
      <c r="AA8" s="22"/>
      <c r="AB8" s="22"/>
    </row>
    <row r="9" ht="15.75" customHeight="1">
      <c r="A9" s="28"/>
      <c r="B9" s="28"/>
      <c r="C9" s="48" t="str">
        <f>Tourn_Summary!C10</f>
        <v>MMP 7</v>
      </c>
      <c r="D9" s="6"/>
      <c r="E9" s="6"/>
      <c r="F9" s="6"/>
      <c r="G9" s="6"/>
      <c r="AA9" s="22"/>
      <c r="AB9" s="22"/>
    </row>
    <row r="10" ht="15.75" customHeight="1">
      <c r="A10" s="28"/>
      <c r="B10" s="28"/>
      <c r="C10" s="48" t="str">
        <f>Tourn_Summary!C11</f>
        <v>MMP 8</v>
      </c>
      <c r="D10" s="6"/>
      <c r="E10" s="6"/>
      <c r="F10" s="6"/>
      <c r="G10" s="6"/>
      <c r="AA10" s="22"/>
      <c r="AB10" s="22"/>
    </row>
    <row r="11" ht="15.75" customHeight="1">
      <c r="A11" s="28"/>
      <c r="B11" s="28"/>
      <c r="C11" s="48" t="str">
        <f>Tourn_Summary!C12</f>
        <v>MMP 9</v>
      </c>
      <c r="D11" s="6"/>
      <c r="E11" s="6"/>
      <c r="F11" s="6"/>
      <c r="G11" s="6"/>
      <c r="AA11" s="22"/>
      <c r="AB11" s="22"/>
    </row>
    <row r="12" ht="15.75" customHeight="1">
      <c r="A12" s="28"/>
      <c r="B12" s="28"/>
      <c r="C12" s="48" t="str">
        <f>Tourn_Summary!C13</f>
        <v>MMP 10</v>
      </c>
      <c r="D12" s="6"/>
      <c r="E12" s="6"/>
      <c r="F12" s="6"/>
      <c r="G12" s="6"/>
      <c r="AA12" s="22"/>
      <c r="AB12" s="22"/>
    </row>
    <row r="13" ht="15.75" customHeight="1">
      <c r="A13" s="28"/>
      <c r="B13" s="28"/>
      <c r="C13" s="48" t="str">
        <f>Tourn_Summary!C14</f>
        <v>MMP 11</v>
      </c>
      <c r="D13" s="6"/>
      <c r="E13" s="6"/>
      <c r="F13" s="6"/>
      <c r="G13" s="6"/>
      <c r="AA13" s="22"/>
      <c r="AB13" s="22"/>
    </row>
    <row r="14" ht="15.75" customHeight="1">
      <c r="A14" s="28"/>
      <c r="B14" s="28"/>
      <c r="C14" s="48" t="str">
        <f>Tourn_Summary!C15</f>
        <v>MMP 12</v>
      </c>
      <c r="D14" s="6"/>
      <c r="E14" s="6"/>
      <c r="F14" s="6"/>
      <c r="G14" s="6"/>
      <c r="AA14" s="22"/>
      <c r="AB14" s="22"/>
    </row>
    <row r="15" ht="15.75" customHeight="1">
      <c r="A15" s="28"/>
      <c r="B15" s="28"/>
      <c r="C15" s="50" t="str">
        <f>Tourn_Summary!C16</f>
        <v>MMP 13</v>
      </c>
      <c r="D15" s="51"/>
      <c r="E15" s="51"/>
      <c r="F15" s="51"/>
      <c r="G15" s="51"/>
      <c r="AA15" s="22"/>
      <c r="AB15" s="22"/>
    </row>
    <row r="16" ht="15.75" customHeight="1">
      <c r="A16" s="25"/>
      <c r="B16" s="25"/>
      <c r="C16" s="45" t="s">
        <v>32</v>
      </c>
      <c r="D16" s="52"/>
      <c r="E16" s="52"/>
      <c r="F16" s="52"/>
      <c r="G16" s="53"/>
      <c r="AA16" s="22"/>
      <c r="AB16" s="22"/>
    </row>
    <row r="17" ht="15.75" customHeight="1">
      <c r="A17" s="28"/>
      <c r="B17" s="28"/>
      <c r="C17" s="48" t="str">
        <f>Tourn_Summary!C18</f>
        <v>FMP 1</v>
      </c>
      <c r="D17" s="49"/>
      <c r="E17" s="49"/>
      <c r="F17" s="49"/>
      <c r="G17" s="49"/>
      <c r="AA17" s="22"/>
      <c r="AB17" s="22"/>
    </row>
    <row r="18" ht="15.75" customHeight="1">
      <c r="A18" s="28"/>
      <c r="B18" s="28"/>
      <c r="C18" s="48" t="str">
        <f>Tourn_Summary!C19</f>
        <v>FMP 2</v>
      </c>
      <c r="D18" s="6"/>
      <c r="E18" s="6"/>
      <c r="F18" s="6"/>
      <c r="G18" s="6"/>
      <c r="AA18" s="22"/>
      <c r="AB18" s="22"/>
    </row>
    <row r="19" ht="15.75" customHeight="1">
      <c r="A19" s="28"/>
      <c r="B19" s="28"/>
      <c r="C19" s="48" t="str">
        <f>Tourn_Summary!C20</f>
        <v>FMP 3</v>
      </c>
      <c r="D19" s="6"/>
      <c r="E19" s="6"/>
      <c r="F19" s="6"/>
      <c r="G19" s="6"/>
      <c r="AA19" s="22"/>
      <c r="AB19" s="22"/>
    </row>
    <row r="20" ht="15.75" customHeight="1">
      <c r="A20" s="28"/>
      <c r="B20" s="28"/>
      <c r="C20" s="48" t="str">
        <f>Tourn_Summary!C21</f>
        <v>FMP 4</v>
      </c>
      <c r="D20" s="6"/>
      <c r="E20" s="6"/>
      <c r="F20" s="6"/>
      <c r="G20" s="6"/>
      <c r="AA20" s="22"/>
      <c r="AB20" s="22"/>
    </row>
    <row r="21" ht="15.75" customHeight="1">
      <c r="A21" s="28"/>
      <c r="B21" s="28"/>
      <c r="C21" s="48" t="str">
        <f>Tourn_Summary!C22</f>
        <v>FMP 5</v>
      </c>
      <c r="D21" s="6"/>
      <c r="E21" s="6"/>
      <c r="F21" s="6"/>
      <c r="G21" s="6"/>
      <c r="AA21" s="22"/>
      <c r="AB21" s="22"/>
    </row>
    <row r="22" ht="15.75" customHeight="1">
      <c r="A22" s="28"/>
      <c r="B22" s="28"/>
      <c r="C22" s="48" t="str">
        <f>Tourn_Summary!C23</f>
        <v>FMP 6</v>
      </c>
      <c r="D22" s="6"/>
      <c r="E22" s="6"/>
      <c r="F22" s="6"/>
      <c r="G22" s="6"/>
      <c r="AA22" s="22"/>
      <c r="AB22" s="22"/>
    </row>
    <row r="23" ht="15.75" customHeight="1">
      <c r="A23" s="28"/>
      <c r="B23" s="28"/>
      <c r="C23" s="48" t="str">
        <f>Tourn_Summary!C24</f>
        <v>FMP 7</v>
      </c>
      <c r="D23" s="6"/>
      <c r="E23" s="6"/>
      <c r="F23" s="6"/>
      <c r="G23" s="6"/>
      <c r="AA23" s="22"/>
      <c r="AB23" s="22"/>
    </row>
    <row r="24" ht="15.75" customHeight="1">
      <c r="A24" s="28"/>
      <c r="B24" s="28"/>
      <c r="C24" s="48" t="str">
        <f>Tourn_Summary!C25</f>
        <v>FMP 8</v>
      </c>
      <c r="D24" s="6"/>
      <c r="E24" s="6"/>
      <c r="F24" s="6"/>
      <c r="G24" s="6"/>
      <c r="AA24" s="22"/>
      <c r="AB24" s="22"/>
    </row>
    <row r="25" ht="15.75" customHeight="1">
      <c r="A25" s="28"/>
      <c r="B25" s="28"/>
      <c r="C25" s="48" t="str">
        <f>Tourn_Summary!C26</f>
        <v>FMP 9</v>
      </c>
      <c r="D25" s="6"/>
      <c r="E25" s="6"/>
      <c r="F25" s="6"/>
      <c r="G25" s="6"/>
      <c r="AA25" s="22"/>
      <c r="AB25" s="22"/>
    </row>
    <row r="26" ht="15.75" customHeight="1">
      <c r="A26" s="28"/>
      <c r="B26" s="28"/>
      <c r="C26" s="48" t="str">
        <f>Tourn_Summary!C27</f>
        <v>FMP 10</v>
      </c>
      <c r="D26" s="6"/>
      <c r="E26" s="6"/>
      <c r="F26" s="6"/>
      <c r="G26" s="6"/>
      <c r="AA26" s="22"/>
      <c r="AB26" s="22"/>
    </row>
    <row r="27" ht="15.75" customHeight="1">
      <c r="A27" s="28"/>
      <c r="B27" s="28"/>
      <c r="C27" s="48" t="str">
        <f>Tourn_Summary!C28</f>
        <v>FMP 11</v>
      </c>
      <c r="D27" s="6"/>
      <c r="E27" s="6"/>
      <c r="F27" s="6"/>
      <c r="G27" s="6"/>
      <c r="AA27" s="22"/>
      <c r="AB27" s="22"/>
    </row>
    <row r="28" ht="15.75" customHeight="1">
      <c r="A28" s="28"/>
      <c r="B28" s="28"/>
      <c r="C28" s="48" t="str">
        <f>Tourn_Summary!C29</f>
        <v>FMP 12</v>
      </c>
      <c r="D28" s="6"/>
      <c r="E28" s="6"/>
      <c r="F28" s="6"/>
      <c r="G28" s="6"/>
      <c r="AA28" s="22"/>
      <c r="AB28" s="22"/>
    </row>
    <row r="29" ht="15.75" customHeight="1">
      <c r="A29" s="28"/>
      <c r="B29" s="28"/>
      <c r="C29" s="48" t="str">
        <f>Tourn_Summary!C30</f>
        <v>FMP 13</v>
      </c>
      <c r="D29" s="6"/>
      <c r="E29" s="6"/>
      <c r="F29" s="6"/>
      <c r="G29" s="6"/>
      <c r="AA29" s="22"/>
      <c r="AB29" s="22"/>
    </row>
    <row r="30" ht="15.75" customHeight="1">
      <c r="C30" s="54" t="s">
        <v>131</v>
      </c>
      <c r="D30" s="55"/>
      <c r="E30" s="55"/>
      <c r="F30" s="55"/>
      <c r="G30" s="56"/>
      <c r="AA30" s="22"/>
      <c r="AB30" s="22"/>
    </row>
    <row r="31" ht="15.75" customHeight="1">
      <c r="C31" s="57"/>
      <c r="D31" s="58"/>
      <c r="E31" s="58"/>
      <c r="F31" s="58"/>
      <c r="G31" s="59"/>
      <c r="AA31" s="22"/>
      <c r="AB31" s="22"/>
    </row>
    <row r="32" ht="15.75" customHeight="1">
      <c r="C32" s="57"/>
      <c r="D32" s="58"/>
      <c r="E32" s="58"/>
      <c r="F32" s="58"/>
      <c r="G32" s="59"/>
      <c r="AA32" s="22"/>
      <c r="AB32" s="22"/>
    </row>
    <row r="33" ht="15.75" customHeight="1">
      <c r="C33" s="57"/>
      <c r="D33" s="58"/>
      <c r="E33" s="58"/>
      <c r="F33" s="58"/>
      <c r="G33" s="59"/>
      <c r="AA33" s="22"/>
      <c r="AB33" s="22"/>
    </row>
    <row r="34" ht="15.75" customHeight="1">
      <c r="C34" s="57"/>
      <c r="D34" s="58"/>
      <c r="E34" s="58"/>
      <c r="F34" s="58"/>
      <c r="G34" s="59"/>
      <c r="AA34" s="22"/>
      <c r="AB34" s="22"/>
    </row>
    <row r="35" ht="15.75" customHeight="1">
      <c r="C35" s="57"/>
      <c r="D35" s="58"/>
      <c r="E35" s="58"/>
      <c r="F35" s="58"/>
      <c r="G35" s="59"/>
      <c r="AA35" s="22"/>
      <c r="AB35" s="22"/>
    </row>
    <row r="36" ht="15.75" customHeight="1">
      <c r="C36" s="57"/>
      <c r="D36" s="58"/>
      <c r="E36" s="58"/>
      <c r="F36" s="58"/>
      <c r="G36" s="59"/>
      <c r="AA36" s="22"/>
      <c r="AB36" s="22"/>
    </row>
    <row r="37" ht="15.75" customHeight="1">
      <c r="C37" s="57"/>
      <c r="D37" s="58"/>
      <c r="E37" s="58"/>
      <c r="F37" s="58"/>
      <c r="G37" s="59"/>
      <c r="AA37" s="22"/>
      <c r="AB37" s="22"/>
    </row>
    <row r="38" ht="15.75" customHeight="1">
      <c r="C38" s="57"/>
      <c r="D38" s="58"/>
      <c r="E38" s="58"/>
      <c r="F38" s="58"/>
      <c r="G38" s="59"/>
      <c r="AA38" s="22"/>
      <c r="AB38" s="22"/>
    </row>
    <row r="39" ht="15.75" customHeight="1">
      <c r="C39" s="57"/>
      <c r="D39" s="58"/>
      <c r="E39" s="58"/>
      <c r="F39" s="58"/>
      <c r="G39" s="59"/>
      <c r="AA39" s="22"/>
      <c r="AB39" s="22"/>
    </row>
    <row r="40" ht="15.75" customHeight="1">
      <c r="C40" s="57"/>
      <c r="D40" s="58"/>
      <c r="E40" s="58"/>
      <c r="F40" s="58"/>
      <c r="G40" s="59"/>
      <c r="AA40" s="22"/>
      <c r="AB40" s="22"/>
    </row>
    <row r="41" ht="15.75" customHeight="1">
      <c r="C41" s="60"/>
      <c r="D41" s="61"/>
      <c r="E41" s="61"/>
      <c r="F41" s="61"/>
      <c r="G41" s="62"/>
      <c r="AA41" s="22"/>
      <c r="AB41" s="22"/>
    </row>
    <row r="42" ht="15.75" customHeight="1">
      <c r="AA42" s="22"/>
      <c r="AB42" s="22"/>
    </row>
    <row r="43" ht="15.75" customHeight="1">
      <c r="AA43" s="22"/>
      <c r="AB43" s="22"/>
    </row>
    <row r="44" ht="15.75" customHeight="1">
      <c r="AA44" s="22"/>
      <c r="AB44" s="22"/>
    </row>
    <row r="45" ht="15.75" customHeight="1">
      <c r="AA45" s="22"/>
      <c r="AB45" s="22"/>
    </row>
    <row r="46" ht="15.75" customHeight="1">
      <c r="AA46" s="22"/>
      <c r="AB46" s="22"/>
    </row>
    <row r="47" ht="15.75" customHeight="1">
      <c r="AA47" s="22"/>
      <c r="AB47" s="22"/>
    </row>
    <row r="48" ht="15.75" customHeight="1">
      <c r="AA48" s="22"/>
      <c r="AB48" s="22"/>
    </row>
    <row r="49" ht="15.75" customHeight="1">
      <c r="AA49" s="22"/>
      <c r="AB49" s="22"/>
    </row>
    <row r="50" ht="15.75" customHeight="1">
      <c r="AA50" s="22"/>
      <c r="AB50" s="22"/>
    </row>
    <row r="51" ht="15.75" customHeight="1">
      <c r="AA51" s="22"/>
      <c r="AB51" s="22"/>
    </row>
    <row r="52" ht="15.75" customHeight="1">
      <c r="AA52" s="22"/>
      <c r="AB52" s="22"/>
    </row>
    <row r="53" ht="15.75" customHeight="1">
      <c r="AA53" s="22"/>
      <c r="AB53" s="22"/>
    </row>
    <row r="54" ht="15.75" customHeight="1">
      <c r="AA54" s="22"/>
      <c r="AB54" s="22"/>
    </row>
    <row r="55" ht="15.75" customHeight="1">
      <c r="AA55" s="22"/>
      <c r="AB55" s="22"/>
    </row>
    <row r="56" ht="15.75" customHeight="1">
      <c r="AA56" s="22"/>
      <c r="AB56" s="22"/>
    </row>
    <row r="57" ht="15.75" customHeight="1">
      <c r="AA57" s="22"/>
      <c r="AB57" s="22"/>
    </row>
    <row r="58" ht="15.75" customHeight="1">
      <c r="AA58" s="22"/>
      <c r="AB58" s="22"/>
    </row>
    <row r="59" ht="15.75" customHeight="1">
      <c r="AA59" s="22"/>
      <c r="AB59" s="22"/>
    </row>
    <row r="60" ht="15.75" customHeight="1">
      <c r="AA60" s="22"/>
      <c r="AB60" s="22"/>
    </row>
    <row r="61" ht="15.75" customHeight="1">
      <c r="AA61" s="22"/>
      <c r="AB61" s="22"/>
    </row>
    <row r="62" ht="15.75" customHeight="1">
      <c r="AA62" s="22"/>
      <c r="AB62" s="22"/>
    </row>
    <row r="63" ht="15.75" customHeight="1">
      <c r="AA63" s="22"/>
      <c r="AB63" s="22"/>
    </row>
    <row r="64" ht="15.75" customHeight="1">
      <c r="AA64" s="22"/>
      <c r="AB64" s="22"/>
    </row>
    <row r="65" ht="15.75" customHeight="1">
      <c r="AA65" s="22"/>
      <c r="AB65" s="22"/>
    </row>
    <row r="66" ht="15.75" customHeight="1">
      <c r="AA66" s="22"/>
      <c r="AB66" s="22"/>
    </row>
    <row r="67" ht="15.75" customHeight="1">
      <c r="AA67" s="22"/>
      <c r="AB67" s="22"/>
    </row>
    <row r="68" ht="15.75" customHeight="1">
      <c r="AA68" s="22"/>
      <c r="AB68" s="22"/>
    </row>
    <row r="69" ht="15.75" customHeight="1">
      <c r="AA69" s="22"/>
      <c r="AB69" s="22"/>
    </row>
    <row r="70" ht="15.75" customHeight="1">
      <c r="AA70" s="22"/>
      <c r="AB70" s="22"/>
    </row>
    <row r="71" ht="15.75" customHeight="1">
      <c r="AA71" s="22"/>
      <c r="AB71" s="22"/>
    </row>
    <row r="72" ht="15.75" customHeight="1">
      <c r="AA72" s="22"/>
      <c r="AB72" s="22"/>
    </row>
    <row r="73" ht="15.75" customHeight="1">
      <c r="AA73" s="22"/>
      <c r="AB73" s="22"/>
    </row>
    <row r="74" ht="15.75" customHeight="1">
      <c r="AA74" s="22"/>
      <c r="AB74" s="22"/>
    </row>
    <row r="75" ht="15.75" customHeight="1">
      <c r="AA75" s="22"/>
      <c r="AB75" s="22"/>
    </row>
    <row r="76" ht="15.75" customHeight="1">
      <c r="AA76" s="22"/>
      <c r="AB76" s="22"/>
    </row>
    <row r="77" ht="15.75" customHeight="1">
      <c r="AA77" s="22"/>
      <c r="AB77" s="22"/>
    </row>
    <row r="78" ht="15.75" customHeight="1">
      <c r="AA78" s="22"/>
      <c r="AB78" s="22"/>
    </row>
    <row r="79" ht="15.75" customHeight="1">
      <c r="AA79" s="22"/>
      <c r="AB79" s="22"/>
    </row>
    <row r="80" ht="15.75" customHeight="1">
      <c r="AA80" s="22"/>
      <c r="AB80" s="22"/>
    </row>
    <row r="81" ht="15.75" customHeight="1">
      <c r="AA81" s="22"/>
      <c r="AB81" s="22"/>
    </row>
    <row r="82" ht="15.75" customHeight="1">
      <c r="AA82" s="22"/>
      <c r="AB82" s="22"/>
    </row>
    <row r="83" ht="15.75" customHeight="1">
      <c r="AA83" s="22"/>
      <c r="AB83" s="22"/>
    </row>
    <row r="84" ht="15.75" customHeight="1">
      <c r="AA84" s="22"/>
      <c r="AB84" s="22"/>
    </row>
    <row r="85" ht="15.75" customHeight="1">
      <c r="AA85" s="22"/>
      <c r="AB85" s="22"/>
    </row>
    <row r="86" ht="15.75" customHeight="1">
      <c r="AA86" s="22"/>
      <c r="AB86" s="22"/>
    </row>
    <row r="87" ht="15.75" customHeight="1">
      <c r="AA87" s="22"/>
      <c r="AB87" s="22"/>
    </row>
    <row r="88" ht="15.75" customHeight="1">
      <c r="AA88" s="22"/>
      <c r="AB88" s="22"/>
    </row>
    <row r="89" ht="15.75" customHeight="1">
      <c r="AA89" s="22"/>
      <c r="AB89" s="22"/>
    </row>
    <row r="90" ht="15.75" customHeight="1">
      <c r="AA90" s="22"/>
      <c r="AB90" s="22"/>
    </row>
    <row r="91" ht="15.75" customHeight="1">
      <c r="AA91" s="22"/>
      <c r="AB91" s="22"/>
    </row>
    <row r="92" ht="15.75" customHeight="1">
      <c r="AA92" s="22"/>
      <c r="AB92" s="22"/>
    </row>
    <row r="93" ht="15.75" customHeight="1">
      <c r="AA93" s="22"/>
      <c r="AB93" s="22"/>
    </row>
    <row r="94" ht="15.75" customHeight="1">
      <c r="AA94" s="22"/>
      <c r="AB94" s="22"/>
    </row>
    <row r="95" ht="15.75" customHeight="1">
      <c r="AA95" s="22"/>
      <c r="AB95" s="22"/>
    </row>
    <row r="96" ht="15.75" customHeight="1">
      <c r="AA96" s="22"/>
      <c r="AB96" s="22"/>
    </row>
    <row r="97" ht="15.75" customHeight="1">
      <c r="AA97" s="22"/>
      <c r="AB97" s="22"/>
    </row>
    <row r="98" ht="15.75" customHeight="1">
      <c r="AA98" s="22"/>
      <c r="AB98" s="22"/>
    </row>
    <row r="99" ht="15.75" customHeight="1">
      <c r="AA99" s="22"/>
      <c r="AB99" s="22"/>
    </row>
    <row r="100" ht="15.75" customHeight="1">
      <c r="AA100" s="22"/>
      <c r="AB100" s="22"/>
    </row>
    <row r="101" ht="15.75" customHeight="1">
      <c r="AA101" s="22"/>
      <c r="AB101" s="22"/>
    </row>
    <row r="102" ht="15.75" customHeight="1">
      <c r="AA102" s="22"/>
      <c r="AB102" s="22"/>
    </row>
    <row r="103" ht="15.75" customHeight="1">
      <c r="AA103" s="22"/>
      <c r="AB103" s="22"/>
    </row>
    <row r="104" ht="15.75" customHeight="1">
      <c r="AA104" s="22"/>
      <c r="AB104" s="22"/>
    </row>
    <row r="105" ht="15.75" customHeight="1">
      <c r="AA105" s="22"/>
      <c r="AB105" s="22"/>
    </row>
    <row r="106" ht="15.75" customHeight="1">
      <c r="AA106" s="22"/>
      <c r="AB106" s="22"/>
    </row>
    <row r="107" ht="15.75" customHeight="1">
      <c r="AA107" s="22"/>
      <c r="AB107" s="22"/>
    </row>
    <row r="108" ht="15.75" customHeight="1">
      <c r="AA108" s="22"/>
      <c r="AB108" s="22"/>
    </row>
    <row r="109" ht="15.75" customHeight="1">
      <c r="AA109" s="22"/>
      <c r="AB109" s="22"/>
    </row>
    <row r="110" ht="15.75" customHeight="1">
      <c r="AA110" s="22"/>
      <c r="AB110" s="22"/>
    </row>
    <row r="111" ht="15.75" customHeight="1">
      <c r="AA111" s="22"/>
      <c r="AB111" s="22"/>
    </row>
    <row r="112" ht="15.75" customHeight="1">
      <c r="AA112" s="22"/>
      <c r="AB112" s="22"/>
    </row>
    <row r="113" ht="15.75" customHeight="1">
      <c r="AA113" s="22"/>
      <c r="AB113" s="22"/>
    </row>
    <row r="114" ht="15.75" customHeight="1">
      <c r="AA114" s="22"/>
      <c r="AB114" s="22"/>
    </row>
    <row r="115" ht="15.75" customHeight="1">
      <c r="AA115" s="22"/>
      <c r="AB115" s="22"/>
    </row>
    <row r="116" ht="15.75" customHeight="1">
      <c r="AA116" s="22"/>
      <c r="AB116" s="22"/>
    </row>
    <row r="117" ht="15.75" customHeight="1">
      <c r="AA117" s="22"/>
      <c r="AB117" s="22"/>
    </row>
    <row r="118" ht="15.75" customHeight="1">
      <c r="AA118" s="22"/>
      <c r="AB118" s="22"/>
    </row>
    <row r="119" ht="15.75" customHeight="1">
      <c r="AA119" s="22"/>
      <c r="AB119" s="22"/>
    </row>
    <row r="120" ht="15.75" customHeight="1">
      <c r="AA120" s="22"/>
      <c r="AB120" s="22"/>
    </row>
    <row r="121" ht="15.75" customHeight="1">
      <c r="AA121" s="22"/>
      <c r="AB121" s="22"/>
    </row>
    <row r="122" ht="15.75" customHeight="1">
      <c r="AA122" s="22"/>
      <c r="AB122" s="22"/>
    </row>
    <row r="123" ht="15.75" customHeight="1">
      <c r="AA123" s="22"/>
      <c r="AB123" s="22"/>
    </row>
    <row r="124" ht="15.75" customHeight="1">
      <c r="AA124" s="22"/>
      <c r="AB124" s="22"/>
    </row>
    <row r="125" ht="15.75" customHeight="1">
      <c r="AA125" s="22"/>
      <c r="AB125" s="22"/>
    </row>
    <row r="126" ht="15.75" customHeight="1">
      <c r="AA126" s="22"/>
      <c r="AB126" s="22"/>
    </row>
    <row r="127" ht="15.75" customHeight="1">
      <c r="AA127" s="22"/>
      <c r="AB127" s="22"/>
    </row>
    <row r="128" ht="15.75" customHeight="1">
      <c r="AA128" s="22"/>
      <c r="AB128" s="22"/>
    </row>
    <row r="129" ht="15.75" customHeight="1">
      <c r="AA129" s="22"/>
      <c r="AB129" s="22"/>
    </row>
    <row r="130" ht="15.75" customHeight="1">
      <c r="AA130" s="22"/>
      <c r="AB130" s="22"/>
    </row>
    <row r="131" ht="15.75" customHeight="1">
      <c r="AA131" s="22"/>
      <c r="AB131" s="22"/>
    </row>
    <row r="132" ht="15.75" customHeight="1">
      <c r="AA132" s="22"/>
      <c r="AB132" s="22"/>
    </row>
    <row r="133" ht="15.75" customHeight="1">
      <c r="AA133" s="22"/>
      <c r="AB133" s="22"/>
    </row>
    <row r="134" ht="15.75" customHeight="1">
      <c r="AA134" s="22"/>
      <c r="AB134" s="22"/>
    </row>
    <row r="135" ht="15.75" customHeight="1">
      <c r="AA135" s="22"/>
      <c r="AB135" s="22"/>
    </row>
    <row r="136" ht="15.75" customHeight="1">
      <c r="AA136" s="22"/>
      <c r="AB136" s="22"/>
    </row>
    <row r="137" ht="15.75" customHeight="1">
      <c r="AA137" s="22"/>
      <c r="AB137" s="22"/>
    </row>
    <row r="138" ht="15.75" customHeight="1">
      <c r="AA138" s="22"/>
      <c r="AB138" s="22"/>
    </row>
    <row r="139" ht="15.75" customHeight="1">
      <c r="AA139" s="22"/>
      <c r="AB139" s="22"/>
    </row>
    <row r="140" ht="15.75" customHeight="1">
      <c r="AA140" s="22"/>
      <c r="AB140" s="22"/>
    </row>
    <row r="141" ht="15.75" customHeight="1">
      <c r="AA141" s="22"/>
      <c r="AB141" s="22"/>
    </row>
    <row r="142" ht="15.75" customHeight="1">
      <c r="AA142" s="22"/>
      <c r="AB142" s="22"/>
    </row>
    <row r="143" ht="15.75" customHeight="1">
      <c r="AA143" s="22"/>
      <c r="AB143" s="22"/>
    </row>
    <row r="144" ht="15.75" customHeight="1">
      <c r="AA144" s="22"/>
      <c r="AB144" s="22"/>
    </row>
    <row r="145" ht="15.75" customHeight="1">
      <c r="AA145" s="22"/>
      <c r="AB145" s="22"/>
    </row>
    <row r="146" ht="15.75" customHeight="1">
      <c r="AA146" s="22"/>
      <c r="AB146" s="22"/>
    </row>
    <row r="147" ht="15.75" customHeight="1">
      <c r="AA147" s="22"/>
      <c r="AB147" s="22"/>
    </row>
    <row r="148" ht="15.75" customHeight="1">
      <c r="AA148" s="22"/>
      <c r="AB148" s="22"/>
    </row>
    <row r="149" ht="15.75" customHeight="1">
      <c r="AA149" s="22"/>
      <c r="AB149" s="22"/>
    </row>
    <row r="150" ht="15.75" customHeight="1">
      <c r="AA150" s="22"/>
      <c r="AB150" s="22"/>
    </row>
    <row r="151" ht="15.75" customHeight="1">
      <c r="AA151" s="22"/>
      <c r="AB151" s="22"/>
    </row>
    <row r="152" ht="15.75" customHeight="1">
      <c r="AA152" s="22"/>
      <c r="AB152" s="22"/>
    </row>
    <row r="153" ht="15.75" customHeight="1">
      <c r="AA153" s="22"/>
      <c r="AB153" s="22"/>
    </row>
    <row r="154" ht="15.75" customHeight="1">
      <c r="AA154" s="22"/>
      <c r="AB154" s="22"/>
    </row>
    <row r="155" ht="15.75" customHeight="1">
      <c r="AA155" s="22"/>
      <c r="AB155" s="22"/>
    </row>
    <row r="156" ht="15.75" customHeight="1">
      <c r="AA156" s="22"/>
      <c r="AB156" s="22"/>
    </row>
    <row r="157" ht="15.75" customHeight="1">
      <c r="AA157" s="22"/>
      <c r="AB157" s="22"/>
    </row>
    <row r="158" ht="15.75" customHeight="1">
      <c r="AA158" s="22"/>
      <c r="AB158" s="22"/>
    </row>
    <row r="159" ht="15.75" customHeight="1">
      <c r="AA159" s="22"/>
      <c r="AB159" s="22"/>
    </row>
    <row r="160" ht="15.75" customHeight="1">
      <c r="AA160" s="22"/>
      <c r="AB160" s="22"/>
    </row>
    <row r="161" ht="15.75" customHeight="1">
      <c r="AA161" s="22"/>
      <c r="AB161" s="22"/>
    </row>
    <row r="162" ht="15.75" customHeight="1">
      <c r="AA162" s="22"/>
      <c r="AB162" s="22"/>
    </row>
    <row r="163" ht="15.75" customHeight="1">
      <c r="AA163" s="22"/>
      <c r="AB163" s="22"/>
    </row>
    <row r="164" ht="15.75" customHeight="1">
      <c r="AA164" s="22"/>
      <c r="AB164" s="22"/>
    </row>
    <row r="165" ht="15.75" customHeight="1">
      <c r="AA165" s="22"/>
      <c r="AB165" s="22"/>
    </row>
    <row r="166" ht="15.75" customHeight="1">
      <c r="AA166" s="22"/>
      <c r="AB166" s="22"/>
    </row>
    <row r="167" ht="15.75" customHeight="1">
      <c r="AA167" s="22"/>
      <c r="AB167" s="22"/>
    </row>
    <row r="168" ht="15.75" customHeight="1">
      <c r="AA168" s="22"/>
      <c r="AB168" s="22"/>
    </row>
    <row r="169" ht="15.75" customHeight="1">
      <c r="AA169" s="22"/>
      <c r="AB169" s="22"/>
    </row>
    <row r="170" ht="15.75" customHeight="1">
      <c r="AA170" s="22"/>
      <c r="AB170" s="22"/>
    </row>
    <row r="171" ht="15.75" customHeight="1">
      <c r="AA171" s="22"/>
      <c r="AB171" s="22"/>
    </row>
    <row r="172" ht="15.75" customHeight="1">
      <c r="AA172" s="22"/>
      <c r="AB172" s="22"/>
    </row>
    <row r="173" ht="15.75" customHeight="1">
      <c r="AA173" s="22"/>
      <c r="AB173" s="22"/>
    </row>
    <row r="174" ht="15.75" customHeight="1">
      <c r="AA174" s="22"/>
      <c r="AB174" s="22"/>
    </row>
    <row r="175" ht="15.75" customHeight="1">
      <c r="AA175" s="22"/>
      <c r="AB175" s="22"/>
    </row>
    <row r="176" ht="15.75" customHeight="1">
      <c r="AA176" s="22"/>
      <c r="AB176" s="22"/>
    </row>
    <row r="177" ht="15.75" customHeight="1">
      <c r="AA177" s="22"/>
      <c r="AB177" s="22"/>
    </row>
    <row r="178" ht="15.75" customHeight="1">
      <c r="AA178" s="22"/>
      <c r="AB178" s="22"/>
    </row>
    <row r="179" ht="15.75" customHeight="1">
      <c r="AA179" s="22"/>
      <c r="AB179" s="22"/>
    </row>
    <row r="180" ht="15.75" customHeight="1">
      <c r="AA180" s="22"/>
      <c r="AB180" s="22"/>
    </row>
    <row r="181" ht="15.75" customHeight="1">
      <c r="AA181" s="22"/>
      <c r="AB181" s="22"/>
    </row>
    <row r="182" ht="15.75" customHeight="1">
      <c r="AA182" s="22"/>
      <c r="AB182" s="22"/>
    </row>
    <row r="183" ht="15.75" customHeight="1">
      <c r="AA183" s="22"/>
      <c r="AB183" s="22"/>
    </row>
    <row r="184" ht="15.75" customHeight="1">
      <c r="AA184" s="22"/>
      <c r="AB184" s="22"/>
    </row>
    <row r="185" ht="15.75" customHeight="1">
      <c r="AA185" s="22"/>
      <c r="AB185" s="22"/>
    </row>
    <row r="186" ht="15.75" customHeight="1">
      <c r="AA186" s="22"/>
      <c r="AB186" s="22"/>
    </row>
    <row r="187" ht="15.75" customHeight="1">
      <c r="AA187" s="22"/>
      <c r="AB187" s="22"/>
    </row>
    <row r="188" ht="15.75" customHeight="1">
      <c r="AA188" s="22"/>
      <c r="AB188" s="22"/>
    </row>
    <row r="189" ht="15.75" customHeight="1">
      <c r="AA189" s="22"/>
      <c r="AB189" s="22"/>
    </row>
    <row r="190" ht="15.75" customHeight="1">
      <c r="AA190" s="22"/>
      <c r="AB190" s="22"/>
    </row>
    <row r="191" ht="15.75" customHeight="1">
      <c r="AA191" s="22"/>
      <c r="AB191" s="22"/>
    </row>
    <row r="192" ht="15.75" customHeight="1">
      <c r="AA192" s="22"/>
      <c r="AB192" s="22"/>
    </row>
    <row r="193" ht="15.75" customHeight="1">
      <c r="AA193" s="22"/>
      <c r="AB193" s="22"/>
    </row>
    <row r="194" ht="15.75" customHeight="1">
      <c r="AA194" s="22"/>
      <c r="AB194" s="22"/>
    </row>
    <row r="195" ht="15.75" customHeight="1">
      <c r="AA195" s="22"/>
      <c r="AB195" s="22"/>
    </row>
    <row r="196" ht="15.75" customHeight="1">
      <c r="AA196" s="22"/>
      <c r="AB196" s="22"/>
    </row>
    <row r="197" ht="15.75" customHeight="1">
      <c r="AA197" s="22"/>
      <c r="AB197" s="22"/>
    </row>
    <row r="198" ht="15.75" customHeight="1">
      <c r="AA198" s="22"/>
      <c r="AB198" s="22"/>
    </row>
    <row r="199" ht="15.75" customHeight="1">
      <c r="AA199" s="22"/>
      <c r="AB199" s="22"/>
    </row>
    <row r="200" ht="15.75" customHeight="1">
      <c r="AA200" s="22"/>
      <c r="AB200" s="22"/>
    </row>
    <row r="201" ht="15.75" customHeight="1">
      <c r="AA201" s="22"/>
      <c r="AB201" s="22"/>
    </row>
    <row r="202" ht="15.75" customHeight="1">
      <c r="AA202" s="22"/>
      <c r="AB202" s="22"/>
    </row>
    <row r="203" ht="15.75" customHeight="1">
      <c r="AA203" s="22"/>
      <c r="AB203" s="22"/>
    </row>
    <row r="204" ht="15.75" customHeight="1">
      <c r="AA204" s="22"/>
      <c r="AB204" s="22"/>
    </row>
    <row r="205" ht="15.75" customHeight="1">
      <c r="AA205" s="22"/>
      <c r="AB205" s="22"/>
    </row>
    <row r="206" ht="15.75" customHeight="1">
      <c r="AA206" s="22"/>
      <c r="AB206" s="22"/>
    </row>
    <row r="207" ht="15.75" customHeight="1">
      <c r="AA207" s="22"/>
      <c r="AB207" s="22"/>
    </row>
    <row r="208" ht="15.75" customHeight="1">
      <c r="AA208" s="22"/>
      <c r="AB208" s="22"/>
    </row>
    <row r="209" ht="15.75" customHeight="1">
      <c r="AA209" s="22"/>
      <c r="AB209" s="22"/>
    </row>
    <row r="210" ht="15.75" customHeight="1">
      <c r="AA210" s="22"/>
      <c r="AB210" s="22"/>
    </row>
    <row r="211" ht="15.75" customHeight="1">
      <c r="AA211" s="22"/>
      <c r="AB211" s="22"/>
    </row>
    <row r="212" ht="15.75" customHeight="1">
      <c r="AA212" s="22"/>
      <c r="AB212" s="22"/>
    </row>
    <row r="213" ht="15.75" customHeight="1">
      <c r="AA213" s="22"/>
      <c r="AB213" s="22"/>
    </row>
    <row r="214" ht="15.75" customHeight="1">
      <c r="AA214" s="22"/>
      <c r="AB214" s="22"/>
    </row>
    <row r="215" ht="15.75" customHeight="1">
      <c r="AA215" s="22"/>
      <c r="AB215" s="22"/>
    </row>
    <row r="216" ht="15.75" customHeight="1">
      <c r="AA216" s="22"/>
      <c r="AB216" s="22"/>
    </row>
    <row r="217" ht="15.75" customHeight="1">
      <c r="AA217" s="22"/>
      <c r="AB217" s="22"/>
    </row>
    <row r="218" ht="15.75" customHeight="1">
      <c r="AA218" s="22"/>
      <c r="AB218" s="22"/>
    </row>
    <row r="219" ht="15.75" customHeight="1">
      <c r="AA219" s="22"/>
      <c r="AB219" s="22"/>
    </row>
    <row r="220" ht="15.75" customHeight="1">
      <c r="AA220" s="22"/>
      <c r="AB220" s="22"/>
    </row>
    <row r="221" ht="15.75" customHeight="1">
      <c r="AA221" s="22"/>
      <c r="AB221" s="22"/>
    </row>
    <row r="222" ht="15.75" customHeight="1">
      <c r="AA222" s="22"/>
      <c r="AB222" s="22"/>
    </row>
    <row r="223" ht="15.75" customHeight="1">
      <c r="AA223" s="22"/>
      <c r="AB223" s="22"/>
    </row>
    <row r="224" ht="15.75" customHeight="1">
      <c r="AA224" s="22"/>
      <c r="AB224" s="22"/>
    </row>
    <row r="225" ht="15.75" customHeight="1">
      <c r="AA225" s="22"/>
      <c r="AB225" s="22"/>
    </row>
    <row r="226" ht="15.75" customHeight="1">
      <c r="AA226" s="22"/>
      <c r="AB226" s="22"/>
    </row>
    <row r="227" ht="15.75" customHeight="1">
      <c r="AA227" s="22"/>
      <c r="AB227" s="22"/>
    </row>
    <row r="228" ht="15.75" customHeight="1">
      <c r="AA228" s="22"/>
      <c r="AB228" s="22"/>
    </row>
    <row r="229" ht="15.75" customHeight="1">
      <c r="AA229" s="22"/>
      <c r="AB229" s="22"/>
    </row>
    <row r="230" ht="15.75" customHeight="1">
      <c r="AA230" s="22"/>
      <c r="AB230" s="22"/>
    </row>
    <row r="231" ht="15.75" customHeight="1">
      <c r="AA231" s="22"/>
      <c r="AB231" s="22"/>
    </row>
    <row r="232" ht="15.75" customHeight="1">
      <c r="AA232" s="22"/>
      <c r="AB232" s="22"/>
    </row>
    <row r="233" ht="15.75" customHeight="1">
      <c r="AA233" s="22"/>
      <c r="AB233" s="22"/>
    </row>
    <row r="234" ht="15.75" customHeight="1">
      <c r="AA234" s="22"/>
      <c r="AB234" s="22"/>
    </row>
    <row r="235" ht="15.75" customHeight="1">
      <c r="AA235" s="22"/>
      <c r="AB235" s="22"/>
    </row>
    <row r="236" ht="15.75" customHeight="1">
      <c r="AA236" s="22"/>
      <c r="AB236" s="22"/>
    </row>
    <row r="237" ht="15.75" customHeight="1">
      <c r="AA237" s="22"/>
      <c r="AB237" s="22"/>
    </row>
    <row r="238" ht="15.75" customHeight="1">
      <c r="AA238" s="22"/>
      <c r="AB238" s="22"/>
    </row>
    <row r="239" ht="15.75" customHeight="1">
      <c r="AA239" s="22"/>
      <c r="AB239" s="22"/>
    </row>
    <row r="240" ht="15.75" customHeight="1">
      <c r="AA240" s="22"/>
      <c r="AB240" s="22"/>
    </row>
    <row r="241" ht="15.75" customHeight="1">
      <c r="AA241" s="22"/>
      <c r="AB241" s="22"/>
    </row>
    <row r="242" ht="15.75" customHeight="1">
      <c r="AA242" s="22"/>
      <c r="AB242" s="22"/>
    </row>
    <row r="243" ht="15.75" customHeight="1">
      <c r="AA243" s="22"/>
      <c r="AB243" s="22"/>
    </row>
    <row r="244" ht="15.75" customHeight="1">
      <c r="AA244" s="22"/>
      <c r="AB244" s="22"/>
    </row>
    <row r="245" ht="15.75" customHeight="1">
      <c r="AA245" s="22"/>
      <c r="AB245" s="22"/>
    </row>
    <row r="246" ht="15.75" customHeight="1">
      <c r="AA246" s="22"/>
      <c r="AB246" s="22"/>
    </row>
    <row r="247" ht="15.75" customHeight="1">
      <c r="AA247" s="22"/>
      <c r="AB247" s="22"/>
    </row>
    <row r="248" ht="15.75" customHeight="1">
      <c r="AA248" s="22"/>
      <c r="AB248" s="22"/>
    </row>
    <row r="249" ht="15.75" customHeight="1">
      <c r="AA249" s="22"/>
      <c r="AB249" s="22"/>
    </row>
    <row r="250" ht="15.75" customHeight="1">
      <c r="AA250" s="22"/>
      <c r="AB250" s="22"/>
    </row>
    <row r="251" ht="15.75" customHeight="1">
      <c r="AA251" s="22"/>
      <c r="AB251" s="22"/>
    </row>
    <row r="252" ht="15.75" customHeight="1">
      <c r="AA252" s="22"/>
      <c r="AB252" s="22"/>
    </row>
    <row r="253" ht="15.75" customHeight="1">
      <c r="AA253" s="22"/>
      <c r="AB253" s="22"/>
    </row>
    <row r="254" ht="15.75" customHeight="1">
      <c r="AA254" s="22"/>
      <c r="AB254" s="22"/>
    </row>
    <row r="255" ht="15.75" customHeight="1">
      <c r="AA255" s="22"/>
      <c r="AB255" s="22"/>
    </row>
    <row r="256" ht="15.75" customHeight="1">
      <c r="AA256" s="22"/>
      <c r="AB256" s="22"/>
    </row>
    <row r="257" ht="15.75" customHeight="1">
      <c r="AA257" s="22"/>
      <c r="AB257" s="22"/>
    </row>
    <row r="258" ht="15.75" customHeight="1">
      <c r="AA258" s="22"/>
      <c r="AB258" s="22"/>
    </row>
    <row r="259" ht="15.75" customHeight="1">
      <c r="AA259" s="22"/>
      <c r="AB259" s="22"/>
    </row>
    <row r="260" ht="15.75" customHeight="1">
      <c r="AA260" s="22"/>
      <c r="AB260" s="22"/>
    </row>
    <row r="261" ht="15.75" customHeight="1">
      <c r="AA261" s="22"/>
      <c r="AB261" s="22"/>
    </row>
    <row r="262" ht="15.75" customHeight="1">
      <c r="AA262" s="22"/>
      <c r="AB262" s="22"/>
    </row>
    <row r="263" ht="15.75" customHeight="1">
      <c r="AA263" s="22"/>
      <c r="AB263" s="22"/>
    </row>
    <row r="264" ht="15.75" customHeight="1">
      <c r="AA264" s="22"/>
      <c r="AB264" s="22"/>
    </row>
    <row r="265" ht="15.75" customHeight="1">
      <c r="AA265" s="22"/>
      <c r="AB265" s="22"/>
    </row>
    <row r="266" ht="15.75" customHeight="1">
      <c r="AA266" s="22"/>
      <c r="AB266" s="22"/>
    </row>
    <row r="267" ht="15.75" customHeight="1">
      <c r="AA267" s="22"/>
      <c r="AB267" s="22"/>
    </row>
    <row r="268" ht="15.75" customHeight="1">
      <c r="AA268" s="22"/>
      <c r="AB268" s="22"/>
    </row>
    <row r="269" ht="15.75" customHeight="1">
      <c r="AA269" s="22"/>
      <c r="AB269" s="22"/>
    </row>
    <row r="270" ht="15.75" customHeight="1">
      <c r="AA270" s="22"/>
      <c r="AB270" s="22"/>
    </row>
    <row r="271" ht="15.75" customHeight="1">
      <c r="AA271" s="22"/>
      <c r="AB271" s="22"/>
    </row>
    <row r="272" ht="15.75" customHeight="1">
      <c r="AA272" s="22"/>
      <c r="AB272" s="22"/>
    </row>
    <row r="273" ht="15.75" customHeight="1">
      <c r="AA273" s="22"/>
      <c r="AB273" s="22"/>
    </row>
    <row r="274" ht="15.75" customHeight="1">
      <c r="AA274" s="22"/>
      <c r="AB274" s="22"/>
    </row>
    <row r="275" ht="15.75" customHeight="1">
      <c r="AA275" s="22"/>
      <c r="AB275" s="22"/>
    </row>
    <row r="276" ht="15.75" customHeight="1">
      <c r="AA276" s="22"/>
      <c r="AB276" s="22"/>
    </row>
    <row r="277" ht="15.75" customHeight="1">
      <c r="AA277" s="22"/>
      <c r="AB277" s="22"/>
    </row>
    <row r="278" ht="15.75" customHeight="1">
      <c r="AA278" s="22"/>
      <c r="AB278" s="22"/>
    </row>
    <row r="279" ht="15.75" customHeight="1">
      <c r="AA279" s="22"/>
      <c r="AB279" s="22"/>
    </row>
    <row r="280" ht="15.75" customHeight="1">
      <c r="AA280" s="22"/>
      <c r="AB280" s="22"/>
    </row>
    <row r="281" ht="15.75" customHeight="1">
      <c r="AA281" s="22"/>
      <c r="AB281" s="22"/>
    </row>
    <row r="282" ht="15.75" customHeight="1">
      <c r="AA282" s="22"/>
      <c r="AB282" s="22"/>
    </row>
    <row r="283" ht="15.75" customHeight="1">
      <c r="AA283" s="22"/>
      <c r="AB283" s="22"/>
    </row>
    <row r="284" ht="15.75" customHeight="1">
      <c r="AA284" s="22"/>
      <c r="AB284" s="22"/>
    </row>
    <row r="285" ht="15.75" customHeight="1">
      <c r="AA285" s="22"/>
      <c r="AB285" s="22"/>
    </row>
    <row r="286" ht="15.75" customHeight="1">
      <c r="AA286" s="22"/>
      <c r="AB286" s="22"/>
    </row>
    <row r="287" ht="15.75" customHeight="1">
      <c r="AA287" s="22"/>
      <c r="AB287" s="22"/>
    </row>
    <row r="288" ht="15.75" customHeight="1">
      <c r="AA288" s="22"/>
      <c r="AB288" s="22"/>
    </row>
    <row r="289" ht="15.75" customHeight="1">
      <c r="AA289" s="22"/>
      <c r="AB289" s="22"/>
    </row>
    <row r="290" ht="15.75" customHeight="1">
      <c r="AA290" s="22"/>
      <c r="AB290" s="22"/>
    </row>
    <row r="291" ht="15.75" customHeight="1">
      <c r="AA291" s="22"/>
      <c r="AB291" s="22"/>
    </row>
    <row r="292" ht="15.75" customHeight="1">
      <c r="AA292" s="22"/>
      <c r="AB292" s="22"/>
    </row>
    <row r="293" ht="15.75" customHeight="1">
      <c r="AA293" s="22"/>
      <c r="AB293" s="22"/>
    </row>
    <row r="294" ht="15.75" customHeight="1">
      <c r="AA294" s="22"/>
      <c r="AB294" s="22"/>
    </row>
    <row r="295" ht="15.75" customHeight="1">
      <c r="AA295" s="22"/>
      <c r="AB295" s="22"/>
    </row>
    <row r="296" ht="15.75" customHeight="1">
      <c r="AA296" s="22"/>
      <c r="AB296" s="22"/>
    </row>
    <row r="297" ht="15.75" customHeight="1">
      <c r="AA297" s="22"/>
      <c r="AB297" s="22"/>
    </row>
    <row r="298" ht="15.75" customHeight="1">
      <c r="AA298" s="22"/>
      <c r="AB298" s="22"/>
    </row>
    <row r="299" ht="15.75" customHeight="1">
      <c r="AA299" s="22"/>
      <c r="AB299" s="22"/>
    </row>
    <row r="300" ht="15.75" customHeight="1">
      <c r="AA300" s="22"/>
      <c r="AB300" s="22"/>
    </row>
    <row r="301" ht="15.75" customHeight="1">
      <c r="AA301" s="22"/>
      <c r="AB301" s="22"/>
    </row>
    <row r="302" ht="15.75" customHeight="1">
      <c r="AA302" s="22"/>
      <c r="AB302" s="22"/>
    </row>
    <row r="303" ht="15.75" customHeight="1">
      <c r="AA303" s="22"/>
      <c r="AB303" s="22"/>
    </row>
    <row r="304" ht="15.75" customHeight="1">
      <c r="AA304" s="22"/>
      <c r="AB304" s="22"/>
    </row>
    <row r="305" ht="15.75" customHeight="1">
      <c r="AA305" s="22"/>
      <c r="AB305" s="22"/>
    </row>
    <row r="306" ht="15.75" customHeight="1">
      <c r="AA306" s="22"/>
      <c r="AB306" s="22"/>
    </row>
    <row r="307" ht="15.75" customHeight="1">
      <c r="AA307" s="22"/>
      <c r="AB307" s="22"/>
    </row>
    <row r="308" ht="15.75" customHeight="1">
      <c r="AA308" s="22"/>
      <c r="AB308" s="22"/>
    </row>
    <row r="309" ht="15.75" customHeight="1">
      <c r="AA309" s="22"/>
      <c r="AB309" s="22"/>
    </row>
    <row r="310" ht="15.75" customHeight="1">
      <c r="AA310" s="22"/>
      <c r="AB310" s="22"/>
    </row>
    <row r="311" ht="15.75" customHeight="1">
      <c r="AA311" s="22"/>
      <c r="AB311" s="22"/>
    </row>
    <row r="312" ht="15.75" customHeight="1">
      <c r="AA312" s="22"/>
      <c r="AB312" s="22"/>
    </row>
    <row r="313" ht="15.75" customHeight="1">
      <c r="AA313" s="22"/>
      <c r="AB313" s="22"/>
    </row>
    <row r="314" ht="15.75" customHeight="1">
      <c r="AA314" s="22"/>
      <c r="AB314" s="22"/>
    </row>
    <row r="315" ht="15.75" customHeight="1">
      <c r="AA315" s="22"/>
      <c r="AB315" s="22"/>
    </row>
    <row r="316" ht="15.75" customHeight="1">
      <c r="AA316" s="22"/>
      <c r="AB316" s="22"/>
    </row>
    <row r="317" ht="15.75" customHeight="1">
      <c r="AA317" s="22"/>
      <c r="AB317" s="22"/>
    </row>
    <row r="318" ht="15.75" customHeight="1">
      <c r="AA318" s="22"/>
      <c r="AB318" s="22"/>
    </row>
    <row r="319" ht="15.75" customHeight="1">
      <c r="AA319" s="22"/>
      <c r="AB319" s="22"/>
    </row>
    <row r="320" ht="15.75" customHeight="1">
      <c r="AA320" s="22"/>
      <c r="AB320" s="22"/>
    </row>
    <row r="321" ht="15.75" customHeight="1">
      <c r="AA321" s="22"/>
      <c r="AB321" s="22"/>
    </row>
    <row r="322" ht="15.75" customHeight="1">
      <c r="AA322" s="22"/>
      <c r="AB322" s="22"/>
    </row>
    <row r="323" ht="15.75" customHeight="1">
      <c r="AA323" s="22"/>
      <c r="AB323" s="22"/>
    </row>
    <row r="324" ht="15.75" customHeight="1">
      <c r="AA324" s="22"/>
      <c r="AB324" s="22"/>
    </row>
    <row r="325" ht="15.75" customHeight="1">
      <c r="AA325" s="22"/>
      <c r="AB325" s="22"/>
    </row>
    <row r="326" ht="15.75" customHeight="1">
      <c r="AA326" s="22"/>
      <c r="AB326" s="22"/>
    </row>
    <row r="327" ht="15.75" customHeight="1">
      <c r="AA327" s="22"/>
      <c r="AB327" s="22"/>
    </row>
    <row r="328" ht="15.75" customHeight="1">
      <c r="AA328" s="22"/>
      <c r="AB328" s="22"/>
    </row>
    <row r="329" ht="15.75" customHeight="1">
      <c r="AA329" s="22"/>
      <c r="AB329" s="22"/>
    </row>
    <row r="330" ht="15.75" customHeight="1">
      <c r="AA330" s="22"/>
      <c r="AB330" s="22"/>
    </row>
    <row r="331" ht="15.75" customHeight="1">
      <c r="AA331" s="22"/>
      <c r="AB331" s="22"/>
    </row>
    <row r="332" ht="15.75" customHeight="1">
      <c r="AA332" s="22"/>
      <c r="AB332" s="22"/>
    </row>
    <row r="333" ht="15.75" customHeight="1">
      <c r="AA333" s="22"/>
      <c r="AB333" s="22"/>
    </row>
    <row r="334" ht="15.75" customHeight="1">
      <c r="AA334" s="22"/>
      <c r="AB334" s="22"/>
    </row>
    <row r="335" ht="15.75" customHeight="1">
      <c r="AA335" s="22"/>
      <c r="AB335" s="22"/>
    </row>
    <row r="336" ht="15.75" customHeight="1">
      <c r="AA336" s="22"/>
      <c r="AB336" s="22"/>
    </row>
    <row r="337" ht="15.75" customHeight="1">
      <c r="AA337" s="22"/>
      <c r="AB337" s="22"/>
    </row>
    <row r="338" ht="15.75" customHeight="1">
      <c r="AA338" s="22"/>
      <c r="AB338" s="22"/>
    </row>
    <row r="339" ht="15.75" customHeight="1">
      <c r="AA339" s="22"/>
      <c r="AB339" s="22"/>
    </row>
    <row r="340" ht="15.75" customHeight="1">
      <c r="AA340" s="22"/>
      <c r="AB340" s="22"/>
    </row>
    <row r="341" ht="15.75" customHeight="1">
      <c r="AA341" s="22"/>
      <c r="AB341" s="22"/>
    </row>
    <row r="342" ht="15.75" customHeight="1">
      <c r="AA342" s="22"/>
      <c r="AB342" s="22"/>
    </row>
    <row r="343" ht="15.75" customHeight="1">
      <c r="AA343" s="22"/>
      <c r="AB343" s="22"/>
    </row>
    <row r="344" ht="15.75" customHeight="1">
      <c r="AA344" s="22"/>
      <c r="AB344" s="22"/>
    </row>
    <row r="345" ht="15.75" customHeight="1">
      <c r="AA345" s="22"/>
      <c r="AB345" s="22"/>
    </row>
    <row r="346" ht="15.75" customHeight="1">
      <c r="AA346" s="22"/>
      <c r="AB346" s="22"/>
    </row>
    <row r="347" ht="15.75" customHeight="1">
      <c r="AA347" s="22"/>
      <c r="AB347" s="22"/>
    </row>
    <row r="348" ht="15.75" customHeight="1">
      <c r="AA348" s="22"/>
      <c r="AB348" s="22"/>
    </row>
    <row r="349" ht="15.75" customHeight="1">
      <c r="AA349" s="22"/>
      <c r="AB349" s="22"/>
    </row>
    <row r="350" ht="15.75" customHeight="1">
      <c r="AA350" s="22"/>
      <c r="AB350" s="22"/>
    </row>
    <row r="351" ht="15.75" customHeight="1">
      <c r="AA351" s="22"/>
      <c r="AB351" s="22"/>
    </row>
    <row r="352" ht="15.75" customHeight="1">
      <c r="AA352" s="22"/>
      <c r="AB352" s="22"/>
    </row>
    <row r="353" ht="15.75" customHeight="1">
      <c r="AA353" s="22"/>
      <c r="AB353" s="22"/>
    </row>
    <row r="354" ht="15.75" customHeight="1">
      <c r="AA354" s="22"/>
      <c r="AB354" s="22"/>
    </row>
    <row r="355" ht="15.75" customHeight="1">
      <c r="AA355" s="22"/>
      <c r="AB355" s="22"/>
    </row>
    <row r="356" ht="15.75" customHeight="1">
      <c r="AA356" s="22"/>
      <c r="AB356" s="22"/>
    </row>
    <row r="357" ht="15.75" customHeight="1">
      <c r="AA357" s="22"/>
      <c r="AB357" s="22"/>
    </row>
    <row r="358" ht="15.75" customHeight="1">
      <c r="AA358" s="22"/>
      <c r="AB358" s="22"/>
    </row>
    <row r="359" ht="15.75" customHeight="1">
      <c r="AA359" s="22"/>
      <c r="AB359" s="22"/>
    </row>
    <row r="360" ht="15.75" customHeight="1">
      <c r="AA360" s="22"/>
      <c r="AB360" s="22"/>
    </row>
    <row r="361" ht="15.75" customHeight="1">
      <c r="AA361" s="22"/>
      <c r="AB361" s="22"/>
    </row>
    <row r="362" ht="15.75" customHeight="1">
      <c r="AA362" s="22"/>
      <c r="AB362" s="22"/>
    </row>
    <row r="363" ht="15.75" customHeight="1">
      <c r="AA363" s="22"/>
      <c r="AB363" s="22"/>
    </row>
    <row r="364" ht="15.75" customHeight="1">
      <c r="AA364" s="22"/>
      <c r="AB364" s="22"/>
    </row>
    <row r="365" ht="15.75" customHeight="1">
      <c r="AA365" s="22"/>
      <c r="AB365" s="22"/>
    </row>
    <row r="366" ht="15.75" customHeight="1">
      <c r="AA366" s="22"/>
      <c r="AB366" s="22"/>
    </row>
    <row r="367" ht="15.75" customHeight="1">
      <c r="AA367" s="22"/>
      <c r="AB367" s="22"/>
    </row>
    <row r="368" ht="15.75" customHeight="1">
      <c r="AA368" s="22"/>
      <c r="AB368" s="22"/>
    </row>
    <row r="369" ht="15.75" customHeight="1">
      <c r="AA369" s="22"/>
      <c r="AB369" s="22"/>
    </row>
    <row r="370" ht="15.75" customHeight="1">
      <c r="AA370" s="22"/>
      <c r="AB370" s="22"/>
    </row>
    <row r="371" ht="15.75" customHeight="1">
      <c r="AA371" s="22"/>
      <c r="AB371" s="22"/>
    </row>
    <row r="372" ht="15.75" customHeight="1">
      <c r="AA372" s="22"/>
      <c r="AB372" s="22"/>
    </row>
    <row r="373" ht="15.75" customHeight="1">
      <c r="AA373" s="22"/>
      <c r="AB373" s="22"/>
    </row>
    <row r="374" ht="15.75" customHeight="1">
      <c r="AA374" s="22"/>
      <c r="AB374" s="22"/>
    </row>
    <row r="375" ht="15.75" customHeight="1">
      <c r="AA375" s="22"/>
      <c r="AB375" s="22"/>
    </row>
    <row r="376" ht="15.75" customHeight="1">
      <c r="AA376" s="22"/>
      <c r="AB376" s="22"/>
    </row>
    <row r="377" ht="15.75" customHeight="1">
      <c r="AA377" s="22"/>
      <c r="AB377" s="22"/>
    </row>
    <row r="378" ht="15.75" customHeight="1">
      <c r="AA378" s="22"/>
      <c r="AB378" s="22"/>
    </row>
    <row r="379" ht="15.75" customHeight="1">
      <c r="AA379" s="22"/>
      <c r="AB379" s="22"/>
    </row>
    <row r="380" ht="15.75" customHeight="1">
      <c r="AA380" s="22"/>
      <c r="AB380" s="22"/>
    </row>
    <row r="381" ht="15.75" customHeight="1">
      <c r="AA381" s="22"/>
      <c r="AB381" s="22"/>
    </row>
    <row r="382" ht="15.75" customHeight="1">
      <c r="AA382" s="22"/>
      <c r="AB382" s="22"/>
    </row>
    <row r="383" ht="15.75" customHeight="1">
      <c r="AA383" s="22"/>
      <c r="AB383" s="22"/>
    </row>
    <row r="384" ht="15.75" customHeight="1">
      <c r="AA384" s="22"/>
      <c r="AB384" s="22"/>
    </row>
    <row r="385" ht="15.75" customHeight="1">
      <c r="AA385" s="22"/>
      <c r="AB385" s="22"/>
    </row>
    <row r="386" ht="15.75" customHeight="1">
      <c r="AA386" s="22"/>
      <c r="AB386" s="22"/>
    </row>
    <row r="387" ht="15.75" customHeight="1">
      <c r="AA387" s="22"/>
      <c r="AB387" s="22"/>
    </row>
    <row r="388" ht="15.75" customHeight="1">
      <c r="AA388" s="22"/>
      <c r="AB388" s="22"/>
    </row>
    <row r="389" ht="15.75" customHeight="1">
      <c r="AA389" s="22"/>
      <c r="AB389" s="22"/>
    </row>
    <row r="390" ht="15.75" customHeight="1">
      <c r="AA390" s="22"/>
      <c r="AB390" s="22"/>
    </row>
    <row r="391" ht="15.75" customHeight="1">
      <c r="AA391" s="22"/>
      <c r="AB391" s="22"/>
    </row>
    <row r="392" ht="15.75" customHeight="1">
      <c r="AA392" s="22"/>
      <c r="AB392" s="22"/>
    </row>
    <row r="393" ht="15.75" customHeight="1">
      <c r="AA393" s="22"/>
      <c r="AB393" s="22"/>
    </row>
    <row r="394" ht="15.75" customHeight="1">
      <c r="AA394" s="22"/>
      <c r="AB394" s="22"/>
    </row>
    <row r="395" ht="15.75" customHeight="1">
      <c r="AA395" s="22"/>
      <c r="AB395" s="22"/>
    </row>
    <row r="396" ht="15.75" customHeight="1">
      <c r="AA396" s="22"/>
      <c r="AB396" s="22"/>
    </row>
    <row r="397" ht="15.75" customHeight="1">
      <c r="AA397" s="22"/>
      <c r="AB397" s="22"/>
    </row>
    <row r="398" ht="15.75" customHeight="1">
      <c r="AA398" s="22"/>
      <c r="AB398" s="22"/>
    </row>
    <row r="399" ht="15.75" customHeight="1">
      <c r="AA399" s="22"/>
      <c r="AB399" s="22"/>
    </row>
    <row r="400" ht="15.75" customHeight="1">
      <c r="AA400" s="22"/>
      <c r="AB400" s="22"/>
    </row>
    <row r="401" ht="15.75" customHeight="1">
      <c r="AA401" s="22"/>
      <c r="AB401" s="22"/>
    </row>
    <row r="402" ht="15.75" customHeight="1">
      <c r="AA402" s="22"/>
      <c r="AB402" s="22"/>
    </row>
    <row r="403" ht="15.75" customHeight="1">
      <c r="AA403" s="22"/>
      <c r="AB403" s="22"/>
    </row>
    <row r="404" ht="15.75" customHeight="1">
      <c r="AA404" s="22"/>
      <c r="AB404" s="22"/>
    </row>
    <row r="405" ht="15.75" customHeight="1">
      <c r="AA405" s="22"/>
      <c r="AB405" s="22"/>
    </row>
    <row r="406" ht="15.75" customHeight="1">
      <c r="AA406" s="22"/>
      <c r="AB406" s="22"/>
    </row>
    <row r="407" ht="15.75" customHeight="1">
      <c r="AA407" s="22"/>
      <c r="AB407" s="22"/>
    </row>
    <row r="408" ht="15.75" customHeight="1">
      <c r="AA408" s="22"/>
      <c r="AB408" s="22"/>
    </row>
    <row r="409" ht="15.75" customHeight="1">
      <c r="AA409" s="22"/>
      <c r="AB409" s="22"/>
    </row>
    <row r="410" ht="15.75" customHeight="1">
      <c r="AA410" s="22"/>
      <c r="AB410" s="22"/>
    </row>
    <row r="411" ht="15.75" customHeight="1">
      <c r="AA411" s="22"/>
      <c r="AB411" s="22"/>
    </row>
    <row r="412" ht="15.75" customHeight="1">
      <c r="AA412" s="22"/>
      <c r="AB412" s="22"/>
    </row>
    <row r="413" ht="15.75" customHeight="1">
      <c r="AA413" s="22"/>
      <c r="AB413" s="22"/>
    </row>
    <row r="414" ht="15.75" customHeight="1">
      <c r="AA414" s="22"/>
      <c r="AB414" s="22"/>
    </row>
    <row r="415" ht="15.75" customHeight="1">
      <c r="AA415" s="22"/>
      <c r="AB415" s="22"/>
    </row>
    <row r="416" ht="15.75" customHeight="1">
      <c r="AA416" s="22"/>
      <c r="AB416" s="22"/>
    </row>
    <row r="417" ht="15.75" customHeight="1">
      <c r="AA417" s="22"/>
      <c r="AB417" s="22"/>
    </row>
    <row r="418" ht="15.75" customHeight="1">
      <c r="AA418" s="22"/>
      <c r="AB418" s="22"/>
    </row>
    <row r="419" ht="15.75" customHeight="1">
      <c r="AA419" s="22"/>
      <c r="AB419" s="22"/>
    </row>
    <row r="420" ht="15.75" customHeight="1">
      <c r="AA420" s="22"/>
      <c r="AB420" s="22"/>
    </row>
    <row r="421" ht="15.75" customHeight="1">
      <c r="AA421" s="22"/>
      <c r="AB421" s="22"/>
    </row>
    <row r="422" ht="15.75" customHeight="1">
      <c r="AA422" s="22"/>
      <c r="AB422" s="22"/>
    </row>
    <row r="423" ht="15.75" customHeight="1">
      <c r="AA423" s="22"/>
      <c r="AB423" s="22"/>
    </row>
    <row r="424" ht="15.75" customHeight="1">
      <c r="AA424" s="22"/>
      <c r="AB424" s="22"/>
    </row>
    <row r="425" ht="15.75" customHeight="1">
      <c r="AA425" s="22"/>
      <c r="AB425" s="22"/>
    </row>
    <row r="426" ht="15.75" customHeight="1">
      <c r="AA426" s="22"/>
      <c r="AB426" s="22"/>
    </row>
    <row r="427" ht="15.75" customHeight="1">
      <c r="AA427" s="22"/>
      <c r="AB427" s="22"/>
    </row>
    <row r="428" ht="15.75" customHeight="1">
      <c r="AA428" s="22"/>
      <c r="AB428" s="22"/>
    </row>
    <row r="429" ht="15.75" customHeight="1">
      <c r="AA429" s="22"/>
      <c r="AB429" s="22"/>
    </row>
    <row r="430" ht="15.75" customHeight="1">
      <c r="AA430" s="22"/>
      <c r="AB430" s="22"/>
    </row>
    <row r="431" ht="15.75" customHeight="1">
      <c r="AA431" s="22"/>
      <c r="AB431" s="22"/>
    </row>
    <row r="432" ht="15.75" customHeight="1">
      <c r="AA432" s="22"/>
      <c r="AB432" s="22"/>
    </row>
    <row r="433" ht="15.75" customHeight="1">
      <c r="AA433" s="22"/>
      <c r="AB433" s="22"/>
    </row>
    <row r="434" ht="15.75" customHeight="1">
      <c r="AA434" s="22"/>
      <c r="AB434" s="22"/>
    </row>
    <row r="435" ht="15.75" customHeight="1">
      <c r="AA435" s="22"/>
      <c r="AB435" s="22"/>
    </row>
    <row r="436" ht="15.75" customHeight="1">
      <c r="AA436" s="22"/>
      <c r="AB436" s="22"/>
    </row>
    <row r="437" ht="15.75" customHeight="1">
      <c r="AA437" s="22"/>
      <c r="AB437" s="22"/>
    </row>
    <row r="438" ht="15.75" customHeight="1">
      <c r="AA438" s="22"/>
      <c r="AB438" s="22"/>
    </row>
    <row r="439" ht="15.75" customHeight="1">
      <c r="AA439" s="22"/>
      <c r="AB439" s="22"/>
    </row>
    <row r="440" ht="15.75" customHeight="1">
      <c r="AA440" s="22"/>
      <c r="AB440" s="22"/>
    </row>
    <row r="441" ht="15.75" customHeight="1">
      <c r="AA441" s="22"/>
      <c r="AB441" s="22"/>
    </row>
    <row r="442" ht="15.75" customHeight="1">
      <c r="AA442" s="22"/>
      <c r="AB442" s="22"/>
    </row>
    <row r="443" ht="15.75" customHeight="1">
      <c r="AA443" s="22"/>
      <c r="AB443" s="22"/>
    </row>
    <row r="444" ht="15.75" customHeight="1">
      <c r="AA444" s="22"/>
      <c r="AB444" s="22"/>
    </row>
    <row r="445" ht="15.75" customHeight="1">
      <c r="AA445" s="22"/>
      <c r="AB445" s="22"/>
    </row>
    <row r="446" ht="15.75" customHeight="1">
      <c r="AA446" s="22"/>
      <c r="AB446" s="22"/>
    </row>
    <row r="447" ht="15.75" customHeight="1">
      <c r="AA447" s="22"/>
      <c r="AB447" s="22"/>
    </row>
    <row r="448" ht="15.75" customHeight="1">
      <c r="AA448" s="22"/>
      <c r="AB448" s="22"/>
    </row>
    <row r="449" ht="15.75" customHeight="1">
      <c r="AA449" s="22"/>
      <c r="AB449" s="22"/>
    </row>
    <row r="450" ht="15.75" customHeight="1">
      <c r="AA450" s="22"/>
      <c r="AB450" s="22"/>
    </row>
    <row r="451" ht="15.75" customHeight="1">
      <c r="AA451" s="22"/>
      <c r="AB451" s="22"/>
    </row>
    <row r="452" ht="15.75" customHeight="1">
      <c r="AA452" s="22"/>
      <c r="AB452" s="22"/>
    </row>
    <row r="453" ht="15.75" customHeight="1">
      <c r="AA453" s="22"/>
      <c r="AB453" s="22"/>
    </row>
    <row r="454" ht="15.75" customHeight="1">
      <c r="AA454" s="22"/>
      <c r="AB454" s="22"/>
    </row>
    <row r="455" ht="15.75" customHeight="1">
      <c r="AA455" s="22"/>
      <c r="AB455" s="22"/>
    </row>
    <row r="456" ht="15.75" customHeight="1">
      <c r="AA456" s="22"/>
      <c r="AB456" s="22"/>
    </row>
    <row r="457" ht="15.75" customHeight="1">
      <c r="AA457" s="22"/>
      <c r="AB457" s="22"/>
    </row>
    <row r="458" ht="15.75" customHeight="1">
      <c r="AA458" s="22"/>
      <c r="AB458" s="22"/>
    </row>
    <row r="459" ht="15.75" customHeight="1">
      <c r="AA459" s="22"/>
      <c r="AB459" s="22"/>
    </row>
    <row r="460" ht="15.75" customHeight="1">
      <c r="AA460" s="22"/>
      <c r="AB460" s="22"/>
    </row>
    <row r="461" ht="15.75" customHeight="1">
      <c r="AA461" s="22"/>
      <c r="AB461" s="22"/>
    </row>
    <row r="462" ht="15.75" customHeight="1">
      <c r="AA462" s="22"/>
      <c r="AB462" s="22"/>
    </row>
    <row r="463" ht="15.75" customHeight="1">
      <c r="AA463" s="22"/>
      <c r="AB463" s="22"/>
    </row>
    <row r="464" ht="15.75" customHeight="1">
      <c r="AA464" s="22"/>
      <c r="AB464" s="22"/>
    </row>
    <row r="465" ht="15.75" customHeight="1">
      <c r="AA465" s="22"/>
      <c r="AB465" s="22"/>
    </row>
    <row r="466" ht="15.75" customHeight="1">
      <c r="AA466" s="22"/>
      <c r="AB466" s="22"/>
    </row>
    <row r="467" ht="15.75" customHeight="1">
      <c r="AA467" s="22"/>
      <c r="AB467" s="22"/>
    </row>
    <row r="468" ht="15.75" customHeight="1">
      <c r="AA468" s="22"/>
      <c r="AB468" s="22"/>
    </row>
    <row r="469" ht="15.75" customHeight="1">
      <c r="AA469" s="22"/>
      <c r="AB469" s="22"/>
    </row>
    <row r="470" ht="15.75" customHeight="1">
      <c r="AA470" s="22"/>
      <c r="AB470" s="22"/>
    </row>
    <row r="471" ht="15.75" customHeight="1">
      <c r="AA471" s="22"/>
      <c r="AB471" s="22"/>
    </row>
    <row r="472" ht="15.75" customHeight="1">
      <c r="AA472" s="22"/>
      <c r="AB472" s="22"/>
    </row>
    <row r="473" ht="15.75" customHeight="1">
      <c r="AA473" s="22"/>
      <c r="AB473" s="22"/>
    </row>
    <row r="474" ht="15.75" customHeight="1">
      <c r="AA474" s="22"/>
      <c r="AB474" s="22"/>
    </row>
    <row r="475" ht="15.75" customHeight="1">
      <c r="AA475" s="22"/>
      <c r="AB475" s="22"/>
    </row>
    <row r="476" ht="15.75" customHeight="1">
      <c r="AA476" s="22"/>
      <c r="AB476" s="22"/>
    </row>
    <row r="477" ht="15.75" customHeight="1">
      <c r="AA477" s="22"/>
      <c r="AB477" s="22"/>
    </row>
    <row r="478" ht="15.75" customHeight="1">
      <c r="AA478" s="22"/>
      <c r="AB478" s="22"/>
    </row>
    <row r="479" ht="15.75" customHeight="1">
      <c r="AA479" s="22"/>
      <c r="AB479" s="22"/>
    </row>
    <row r="480" ht="15.75" customHeight="1">
      <c r="AA480" s="22"/>
      <c r="AB480" s="22"/>
    </row>
    <row r="481" ht="15.75" customHeight="1">
      <c r="AA481" s="22"/>
      <c r="AB481" s="22"/>
    </row>
    <row r="482" ht="15.75" customHeight="1">
      <c r="AA482" s="22"/>
      <c r="AB482" s="22"/>
    </row>
    <row r="483" ht="15.75" customHeight="1">
      <c r="AA483" s="22"/>
      <c r="AB483" s="22"/>
    </row>
    <row r="484" ht="15.75" customHeight="1">
      <c r="AA484" s="22"/>
      <c r="AB484" s="22"/>
    </row>
    <row r="485" ht="15.75" customHeight="1">
      <c r="AA485" s="22"/>
      <c r="AB485" s="22"/>
    </row>
    <row r="486" ht="15.75" customHeight="1">
      <c r="AA486" s="22"/>
      <c r="AB486" s="22"/>
    </row>
    <row r="487" ht="15.75" customHeight="1">
      <c r="AA487" s="22"/>
      <c r="AB487" s="22"/>
    </row>
    <row r="488" ht="15.75" customHeight="1">
      <c r="AA488" s="22"/>
      <c r="AB488" s="22"/>
    </row>
    <row r="489" ht="15.75" customHeight="1">
      <c r="AA489" s="22"/>
      <c r="AB489" s="22"/>
    </row>
    <row r="490" ht="15.75" customHeight="1">
      <c r="AA490" s="22"/>
      <c r="AB490" s="22"/>
    </row>
    <row r="491" ht="15.75" customHeight="1">
      <c r="AA491" s="22"/>
      <c r="AB491" s="22"/>
    </row>
    <row r="492" ht="15.75" customHeight="1">
      <c r="AA492" s="22"/>
      <c r="AB492" s="22"/>
    </row>
    <row r="493" ht="15.75" customHeight="1">
      <c r="AA493" s="22"/>
      <c r="AB493" s="22"/>
    </row>
    <row r="494" ht="15.75" customHeight="1">
      <c r="AA494" s="22"/>
      <c r="AB494" s="22"/>
    </row>
    <row r="495" ht="15.75" customHeight="1">
      <c r="AA495" s="22"/>
      <c r="AB495" s="22"/>
    </row>
    <row r="496" ht="15.75" customHeight="1">
      <c r="AA496" s="22"/>
      <c r="AB496" s="22"/>
    </row>
    <row r="497" ht="15.75" customHeight="1">
      <c r="AA497" s="22"/>
      <c r="AB497" s="22"/>
    </row>
    <row r="498" ht="15.75" customHeight="1">
      <c r="AA498" s="22"/>
      <c r="AB498" s="22"/>
    </row>
    <row r="499" ht="15.75" customHeight="1">
      <c r="AA499" s="22"/>
      <c r="AB499" s="22"/>
    </row>
    <row r="500" ht="15.75" customHeight="1">
      <c r="AA500" s="22"/>
      <c r="AB500" s="22"/>
    </row>
    <row r="501" ht="15.75" customHeight="1">
      <c r="AA501" s="22"/>
      <c r="AB501" s="22"/>
    </row>
    <row r="502" ht="15.75" customHeight="1">
      <c r="AA502" s="22"/>
      <c r="AB502" s="22"/>
    </row>
    <row r="503" ht="15.75" customHeight="1">
      <c r="AA503" s="22"/>
      <c r="AB503" s="22"/>
    </row>
    <row r="504" ht="15.75" customHeight="1">
      <c r="AA504" s="22"/>
      <c r="AB504" s="22"/>
    </row>
    <row r="505" ht="15.75" customHeight="1">
      <c r="AA505" s="22"/>
      <c r="AB505" s="22"/>
    </row>
    <row r="506" ht="15.75" customHeight="1">
      <c r="AA506" s="22"/>
      <c r="AB506" s="22"/>
    </row>
    <row r="507" ht="15.75" customHeight="1">
      <c r="AA507" s="22"/>
      <c r="AB507" s="22"/>
    </row>
    <row r="508" ht="15.75" customHeight="1">
      <c r="AA508" s="22"/>
      <c r="AB508" s="22"/>
    </row>
    <row r="509" ht="15.75" customHeight="1">
      <c r="AA509" s="22"/>
      <c r="AB509" s="22"/>
    </row>
    <row r="510" ht="15.75" customHeight="1">
      <c r="AA510" s="22"/>
      <c r="AB510" s="22"/>
    </row>
    <row r="511" ht="15.75" customHeight="1">
      <c r="AA511" s="22"/>
      <c r="AB511" s="22"/>
    </row>
    <row r="512" ht="15.75" customHeight="1">
      <c r="AA512" s="22"/>
      <c r="AB512" s="22"/>
    </row>
    <row r="513" ht="15.75" customHeight="1">
      <c r="AA513" s="22"/>
      <c r="AB513" s="22"/>
    </row>
    <row r="514" ht="15.75" customHeight="1">
      <c r="AA514" s="22"/>
      <c r="AB514" s="22"/>
    </row>
    <row r="515" ht="15.75" customHeight="1">
      <c r="AA515" s="22"/>
      <c r="AB515" s="22"/>
    </row>
    <row r="516" ht="15.75" customHeight="1">
      <c r="AA516" s="22"/>
      <c r="AB516" s="22"/>
    </row>
    <row r="517" ht="15.75" customHeight="1">
      <c r="AA517" s="22"/>
      <c r="AB517" s="22"/>
    </row>
    <row r="518" ht="15.75" customHeight="1">
      <c r="AA518" s="22"/>
      <c r="AB518" s="22"/>
    </row>
    <row r="519" ht="15.75" customHeight="1">
      <c r="AA519" s="22"/>
      <c r="AB519" s="22"/>
    </row>
    <row r="520" ht="15.75" customHeight="1">
      <c r="AA520" s="22"/>
      <c r="AB520" s="22"/>
    </row>
    <row r="521" ht="15.75" customHeight="1">
      <c r="AA521" s="22"/>
      <c r="AB521" s="22"/>
    </row>
    <row r="522" ht="15.75" customHeight="1">
      <c r="AA522" s="22"/>
      <c r="AB522" s="22"/>
    </row>
    <row r="523" ht="15.75" customHeight="1">
      <c r="AA523" s="22"/>
      <c r="AB523" s="22"/>
    </row>
    <row r="524" ht="15.75" customHeight="1">
      <c r="AA524" s="22"/>
      <c r="AB524" s="22"/>
    </row>
    <row r="525" ht="15.75" customHeight="1">
      <c r="AA525" s="22"/>
      <c r="AB525" s="22"/>
    </row>
    <row r="526" ht="15.75" customHeight="1">
      <c r="AA526" s="22"/>
      <c r="AB526" s="22"/>
    </row>
    <row r="527" ht="15.75" customHeight="1">
      <c r="AA527" s="22"/>
      <c r="AB527" s="22"/>
    </row>
    <row r="528" ht="15.75" customHeight="1">
      <c r="AA528" s="22"/>
      <c r="AB528" s="22"/>
    </row>
    <row r="529" ht="15.75" customHeight="1">
      <c r="AA529" s="22"/>
      <c r="AB529" s="22"/>
    </row>
    <row r="530" ht="15.75" customHeight="1">
      <c r="AA530" s="22"/>
      <c r="AB530" s="22"/>
    </row>
    <row r="531" ht="15.75" customHeight="1">
      <c r="AA531" s="22"/>
      <c r="AB531" s="22"/>
    </row>
    <row r="532" ht="15.75" customHeight="1">
      <c r="AA532" s="22"/>
      <c r="AB532" s="22"/>
    </row>
    <row r="533" ht="15.75" customHeight="1">
      <c r="AA533" s="22"/>
      <c r="AB533" s="22"/>
    </row>
    <row r="534" ht="15.75" customHeight="1">
      <c r="AA534" s="22"/>
      <c r="AB534" s="22"/>
    </row>
    <row r="535" ht="15.75" customHeight="1">
      <c r="AA535" s="22"/>
      <c r="AB535" s="22"/>
    </row>
    <row r="536" ht="15.75" customHeight="1">
      <c r="AA536" s="22"/>
      <c r="AB536" s="22"/>
    </row>
    <row r="537" ht="15.75" customHeight="1">
      <c r="AA537" s="22"/>
      <c r="AB537" s="22"/>
    </row>
    <row r="538" ht="15.75" customHeight="1">
      <c r="AA538" s="22"/>
      <c r="AB538" s="22"/>
    </row>
    <row r="539" ht="15.75" customHeight="1">
      <c r="AA539" s="22"/>
      <c r="AB539" s="22"/>
    </row>
    <row r="540" ht="15.75" customHeight="1">
      <c r="AA540" s="22"/>
      <c r="AB540" s="22"/>
    </row>
    <row r="541" ht="15.75" customHeight="1">
      <c r="AA541" s="22"/>
      <c r="AB541" s="22"/>
    </row>
    <row r="542" ht="15.75" customHeight="1">
      <c r="AA542" s="22"/>
      <c r="AB542" s="22"/>
    </row>
    <row r="543" ht="15.75" customHeight="1">
      <c r="AA543" s="22"/>
      <c r="AB543" s="22"/>
    </row>
    <row r="544" ht="15.75" customHeight="1">
      <c r="AA544" s="22"/>
      <c r="AB544" s="22"/>
    </row>
    <row r="545" ht="15.75" customHeight="1">
      <c r="AA545" s="22"/>
      <c r="AB545" s="22"/>
    </row>
    <row r="546" ht="15.75" customHeight="1">
      <c r="AA546" s="22"/>
      <c r="AB546" s="22"/>
    </row>
    <row r="547" ht="15.75" customHeight="1">
      <c r="AA547" s="22"/>
      <c r="AB547" s="22"/>
    </row>
    <row r="548" ht="15.75" customHeight="1">
      <c r="AA548" s="22"/>
      <c r="AB548" s="22"/>
    </row>
    <row r="549" ht="15.75" customHeight="1">
      <c r="AA549" s="22"/>
      <c r="AB549" s="22"/>
    </row>
    <row r="550" ht="15.75" customHeight="1">
      <c r="AA550" s="22"/>
      <c r="AB550" s="22"/>
    </row>
    <row r="551" ht="15.75" customHeight="1">
      <c r="AA551" s="22"/>
      <c r="AB551" s="22"/>
    </row>
    <row r="552" ht="15.75" customHeight="1">
      <c r="AA552" s="22"/>
      <c r="AB552" s="22"/>
    </row>
    <row r="553" ht="15.75" customHeight="1">
      <c r="AA553" s="22"/>
      <c r="AB553" s="22"/>
    </row>
    <row r="554" ht="15.75" customHeight="1">
      <c r="AA554" s="22"/>
      <c r="AB554" s="22"/>
    </row>
    <row r="555" ht="15.75" customHeight="1">
      <c r="AA555" s="22"/>
      <c r="AB555" s="22"/>
    </row>
    <row r="556" ht="15.75" customHeight="1">
      <c r="AA556" s="22"/>
      <c r="AB556" s="22"/>
    </row>
    <row r="557" ht="15.75" customHeight="1">
      <c r="AA557" s="22"/>
      <c r="AB557" s="22"/>
    </row>
    <row r="558" ht="15.75" customHeight="1">
      <c r="AA558" s="22"/>
      <c r="AB558" s="22"/>
    </row>
    <row r="559" ht="15.75" customHeight="1">
      <c r="AA559" s="22"/>
      <c r="AB559" s="22"/>
    </row>
    <row r="560" ht="15.75" customHeight="1">
      <c r="AA560" s="22"/>
      <c r="AB560" s="22"/>
    </row>
    <row r="561" ht="15.75" customHeight="1">
      <c r="AA561" s="22"/>
      <c r="AB561" s="22"/>
    </row>
    <row r="562" ht="15.75" customHeight="1">
      <c r="AA562" s="22"/>
      <c r="AB562" s="22"/>
    </row>
    <row r="563" ht="15.75" customHeight="1">
      <c r="AA563" s="22"/>
      <c r="AB563" s="22"/>
    </row>
    <row r="564" ht="15.75" customHeight="1">
      <c r="AA564" s="22"/>
      <c r="AB564" s="22"/>
    </row>
    <row r="565" ht="15.75" customHeight="1">
      <c r="AA565" s="22"/>
      <c r="AB565" s="22"/>
    </row>
    <row r="566" ht="15.75" customHeight="1">
      <c r="AA566" s="22"/>
      <c r="AB566" s="22"/>
    </row>
    <row r="567" ht="15.75" customHeight="1">
      <c r="AA567" s="22"/>
      <c r="AB567" s="22"/>
    </row>
    <row r="568" ht="15.75" customHeight="1">
      <c r="AA568" s="22"/>
      <c r="AB568" s="22"/>
    </row>
    <row r="569" ht="15.75" customHeight="1">
      <c r="AA569" s="22"/>
      <c r="AB569" s="22"/>
    </row>
    <row r="570" ht="15.75" customHeight="1">
      <c r="AA570" s="22"/>
      <c r="AB570" s="22"/>
    </row>
    <row r="571" ht="15.75" customHeight="1">
      <c r="AA571" s="22"/>
      <c r="AB571" s="22"/>
    </row>
    <row r="572" ht="15.75" customHeight="1">
      <c r="AA572" s="22"/>
      <c r="AB572" s="22"/>
    </row>
    <row r="573" ht="15.75" customHeight="1">
      <c r="AA573" s="22"/>
      <c r="AB573" s="22"/>
    </row>
    <row r="574" ht="15.75" customHeight="1">
      <c r="AA574" s="22"/>
      <c r="AB574" s="22"/>
    </row>
    <row r="575" ht="15.75" customHeight="1">
      <c r="AA575" s="22"/>
      <c r="AB575" s="22"/>
    </row>
    <row r="576" ht="15.75" customHeight="1">
      <c r="AA576" s="22"/>
      <c r="AB576" s="22"/>
    </row>
    <row r="577" ht="15.75" customHeight="1">
      <c r="AA577" s="22"/>
      <c r="AB577" s="22"/>
    </row>
    <row r="578" ht="15.75" customHeight="1">
      <c r="AA578" s="22"/>
      <c r="AB578" s="22"/>
    </row>
    <row r="579" ht="15.75" customHeight="1">
      <c r="AA579" s="22"/>
      <c r="AB579" s="22"/>
    </row>
    <row r="580" ht="15.75" customHeight="1">
      <c r="AA580" s="22"/>
      <c r="AB580" s="22"/>
    </row>
    <row r="581" ht="15.75" customHeight="1">
      <c r="AA581" s="22"/>
      <c r="AB581" s="22"/>
    </row>
    <row r="582" ht="15.75" customHeight="1">
      <c r="AA582" s="22"/>
      <c r="AB582" s="22"/>
    </row>
    <row r="583" ht="15.75" customHeight="1">
      <c r="AA583" s="22"/>
      <c r="AB583" s="22"/>
    </row>
    <row r="584" ht="15.75" customHeight="1">
      <c r="AA584" s="22"/>
      <c r="AB584" s="22"/>
    </row>
    <row r="585" ht="15.75" customHeight="1">
      <c r="AA585" s="22"/>
      <c r="AB585" s="22"/>
    </row>
    <row r="586" ht="15.75" customHeight="1">
      <c r="AA586" s="22"/>
      <c r="AB586" s="22"/>
    </row>
    <row r="587" ht="15.75" customHeight="1">
      <c r="AA587" s="22"/>
      <c r="AB587" s="22"/>
    </row>
    <row r="588" ht="15.75" customHeight="1">
      <c r="AA588" s="22"/>
      <c r="AB588" s="22"/>
    </row>
    <row r="589" ht="15.75" customHeight="1">
      <c r="AA589" s="22"/>
      <c r="AB589" s="22"/>
    </row>
    <row r="590" ht="15.75" customHeight="1">
      <c r="AA590" s="22"/>
      <c r="AB590" s="22"/>
    </row>
    <row r="591" ht="15.75" customHeight="1">
      <c r="AA591" s="22"/>
      <c r="AB591" s="22"/>
    </row>
    <row r="592" ht="15.75" customHeight="1">
      <c r="AA592" s="22"/>
      <c r="AB592" s="22"/>
    </row>
    <row r="593" ht="15.75" customHeight="1">
      <c r="AA593" s="22"/>
      <c r="AB593" s="22"/>
    </row>
    <row r="594" ht="15.75" customHeight="1">
      <c r="AA594" s="22"/>
      <c r="AB594" s="22"/>
    </row>
    <row r="595" ht="15.75" customHeight="1">
      <c r="AA595" s="22"/>
      <c r="AB595" s="22"/>
    </row>
    <row r="596" ht="15.75" customHeight="1">
      <c r="AA596" s="22"/>
      <c r="AB596" s="22"/>
    </row>
    <row r="597" ht="15.75" customHeight="1">
      <c r="AA597" s="22"/>
      <c r="AB597" s="22"/>
    </row>
    <row r="598" ht="15.75" customHeight="1">
      <c r="AA598" s="22"/>
      <c r="AB598" s="22"/>
    </row>
    <row r="599" ht="15.75" customHeight="1">
      <c r="AA599" s="22"/>
      <c r="AB599" s="22"/>
    </row>
    <row r="600" ht="15.75" customHeight="1">
      <c r="AA600" s="22"/>
      <c r="AB600" s="22"/>
    </row>
    <row r="601" ht="15.75" customHeight="1">
      <c r="AA601" s="22"/>
      <c r="AB601" s="22"/>
    </row>
    <row r="602" ht="15.75" customHeight="1">
      <c r="AA602" s="22"/>
      <c r="AB602" s="22"/>
    </row>
    <row r="603" ht="15.75" customHeight="1">
      <c r="AA603" s="22"/>
      <c r="AB603" s="22"/>
    </row>
    <row r="604" ht="15.75" customHeight="1">
      <c r="AA604" s="22"/>
      <c r="AB604" s="22"/>
    </row>
    <row r="605" ht="15.75" customHeight="1">
      <c r="AA605" s="22"/>
      <c r="AB605" s="22"/>
    </row>
    <row r="606" ht="15.75" customHeight="1">
      <c r="AA606" s="22"/>
      <c r="AB606" s="22"/>
    </row>
    <row r="607" ht="15.75" customHeight="1">
      <c r="AA607" s="22"/>
      <c r="AB607" s="22"/>
    </row>
    <row r="608" ht="15.75" customHeight="1">
      <c r="AA608" s="22"/>
      <c r="AB608" s="22"/>
    </row>
    <row r="609" ht="15.75" customHeight="1">
      <c r="AA609" s="22"/>
      <c r="AB609" s="22"/>
    </row>
    <row r="610" ht="15.75" customHeight="1">
      <c r="AA610" s="22"/>
      <c r="AB610" s="22"/>
    </row>
    <row r="611" ht="15.75" customHeight="1">
      <c r="AA611" s="22"/>
      <c r="AB611" s="22"/>
    </row>
    <row r="612" ht="15.75" customHeight="1">
      <c r="AA612" s="22"/>
      <c r="AB612" s="22"/>
    </row>
    <row r="613" ht="15.75" customHeight="1">
      <c r="AA613" s="22"/>
      <c r="AB613" s="22"/>
    </row>
    <row r="614" ht="15.75" customHeight="1">
      <c r="AA614" s="22"/>
      <c r="AB614" s="22"/>
    </row>
    <row r="615" ht="15.75" customHeight="1">
      <c r="AA615" s="22"/>
      <c r="AB615" s="22"/>
    </row>
    <row r="616" ht="15.75" customHeight="1">
      <c r="AA616" s="22"/>
      <c r="AB616" s="22"/>
    </row>
    <row r="617" ht="15.75" customHeight="1">
      <c r="AA617" s="22"/>
      <c r="AB617" s="22"/>
    </row>
    <row r="618" ht="15.75" customHeight="1">
      <c r="AA618" s="22"/>
      <c r="AB618" s="22"/>
    </row>
    <row r="619" ht="15.75" customHeight="1">
      <c r="AA619" s="22"/>
      <c r="AB619" s="22"/>
    </row>
    <row r="620" ht="15.75" customHeight="1">
      <c r="AA620" s="22"/>
      <c r="AB620" s="22"/>
    </row>
    <row r="621" ht="15.75" customHeight="1">
      <c r="AA621" s="22"/>
      <c r="AB621" s="22"/>
    </row>
    <row r="622" ht="15.75" customHeight="1">
      <c r="AA622" s="22"/>
      <c r="AB622" s="22"/>
    </row>
    <row r="623" ht="15.75" customHeight="1">
      <c r="AA623" s="22"/>
      <c r="AB623" s="22"/>
    </row>
    <row r="624" ht="15.75" customHeight="1">
      <c r="AA624" s="22"/>
      <c r="AB624" s="22"/>
    </row>
    <row r="625" ht="15.75" customHeight="1">
      <c r="AA625" s="22"/>
      <c r="AB625" s="22"/>
    </row>
    <row r="626" ht="15.75" customHeight="1">
      <c r="AA626" s="22"/>
      <c r="AB626" s="22"/>
    </row>
    <row r="627" ht="15.75" customHeight="1">
      <c r="AA627" s="22"/>
      <c r="AB627" s="22"/>
    </row>
    <row r="628" ht="15.75" customHeight="1">
      <c r="AA628" s="22"/>
      <c r="AB628" s="22"/>
    </row>
    <row r="629" ht="15.75" customHeight="1">
      <c r="AA629" s="22"/>
      <c r="AB629" s="22"/>
    </row>
    <row r="630" ht="15.75" customHeight="1">
      <c r="AA630" s="22"/>
      <c r="AB630" s="22"/>
    </row>
    <row r="631" ht="15.75" customHeight="1">
      <c r="AA631" s="22"/>
      <c r="AB631" s="22"/>
    </row>
    <row r="632" ht="15.75" customHeight="1">
      <c r="AA632" s="22"/>
      <c r="AB632" s="22"/>
    </row>
    <row r="633" ht="15.75" customHeight="1">
      <c r="AA633" s="22"/>
      <c r="AB633" s="22"/>
    </row>
    <row r="634" ht="15.75" customHeight="1">
      <c r="AA634" s="22"/>
      <c r="AB634" s="22"/>
    </row>
    <row r="635" ht="15.75" customHeight="1">
      <c r="AA635" s="22"/>
      <c r="AB635" s="22"/>
    </row>
    <row r="636" ht="15.75" customHeight="1">
      <c r="AA636" s="22"/>
      <c r="AB636" s="22"/>
    </row>
    <row r="637" ht="15.75" customHeight="1">
      <c r="AA637" s="22"/>
      <c r="AB637" s="22"/>
    </row>
    <row r="638" ht="15.75" customHeight="1">
      <c r="AA638" s="22"/>
      <c r="AB638" s="22"/>
    </row>
    <row r="639" ht="15.75" customHeight="1">
      <c r="AA639" s="22"/>
      <c r="AB639" s="22"/>
    </row>
    <row r="640" ht="15.75" customHeight="1">
      <c r="AA640" s="22"/>
      <c r="AB640" s="22"/>
    </row>
    <row r="641" ht="15.75" customHeight="1">
      <c r="AA641" s="22"/>
      <c r="AB641" s="22"/>
    </row>
    <row r="642" ht="15.75" customHeight="1">
      <c r="AA642" s="22"/>
      <c r="AB642" s="22"/>
    </row>
    <row r="643" ht="15.75" customHeight="1">
      <c r="AA643" s="22"/>
      <c r="AB643" s="22"/>
    </row>
    <row r="644" ht="15.75" customHeight="1">
      <c r="AA644" s="22"/>
      <c r="AB644" s="22"/>
    </row>
    <row r="645" ht="15.75" customHeight="1">
      <c r="AA645" s="22"/>
      <c r="AB645" s="22"/>
    </row>
    <row r="646" ht="15.75" customHeight="1">
      <c r="AA646" s="22"/>
      <c r="AB646" s="22"/>
    </row>
    <row r="647" ht="15.75" customHeight="1">
      <c r="AA647" s="22"/>
      <c r="AB647" s="22"/>
    </row>
    <row r="648" ht="15.75" customHeight="1">
      <c r="AA648" s="22"/>
      <c r="AB648" s="22"/>
    </row>
    <row r="649" ht="15.75" customHeight="1">
      <c r="AA649" s="22"/>
      <c r="AB649" s="22"/>
    </row>
    <row r="650" ht="15.75" customHeight="1">
      <c r="AA650" s="22"/>
      <c r="AB650" s="22"/>
    </row>
    <row r="651" ht="15.75" customHeight="1">
      <c r="AA651" s="22"/>
      <c r="AB651" s="22"/>
    </row>
    <row r="652" ht="15.75" customHeight="1">
      <c r="AA652" s="22"/>
      <c r="AB652" s="22"/>
    </row>
    <row r="653" ht="15.75" customHeight="1">
      <c r="AA653" s="22"/>
      <c r="AB653" s="22"/>
    </row>
    <row r="654" ht="15.75" customHeight="1">
      <c r="AA654" s="22"/>
      <c r="AB654" s="22"/>
    </row>
    <row r="655" ht="15.75" customHeight="1">
      <c r="AA655" s="22"/>
      <c r="AB655" s="22"/>
    </row>
    <row r="656" ht="15.75" customHeight="1">
      <c r="AA656" s="22"/>
      <c r="AB656" s="22"/>
    </row>
    <row r="657" ht="15.75" customHeight="1">
      <c r="AA657" s="22"/>
      <c r="AB657" s="22"/>
    </row>
    <row r="658" ht="15.75" customHeight="1">
      <c r="AA658" s="22"/>
      <c r="AB658" s="22"/>
    </row>
    <row r="659" ht="15.75" customHeight="1">
      <c r="AA659" s="22"/>
      <c r="AB659" s="22"/>
    </row>
    <row r="660" ht="15.75" customHeight="1">
      <c r="AA660" s="22"/>
      <c r="AB660" s="22"/>
    </row>
    <row r="661" ht="15.75" customHeight="1">
      <c r="AA661" s="22"/>
      <c r="AB661" s="22"/>
    </row>
    <row r="662" ht="15.75" customHeight="1">
      <c r="AA662" s="22"/>
      <c r="AB662" s="22"/>
    </row>
    <row r="663" ht="15.75" customHeight="1">
      <c r="AA663" s="22"/>
      <c r="AB663" s="22"/>
    </row>
    <row r="664" ht="15.75" customHeight="1">
      <c r="AA664" s="22"/>
      <c r="AB664" s="22"/>
    </row>
    <row r="665" ht="15.75" customHeight="1">
      <c r="AA665" s="22"/>
      <c r="AB665" s="22"/>
    </row>
    <row r="666" ht="15.75" customHeight="1">
      <c r="AA666" s="22"/>
      <c r="AB666" s="22"/>
    </row>
    <row r="667" ht="15.75" customHeight="1">
      <c r="AA667" s="22"/>
      <c r="AB667" s="22"/>
    </row>
    <row r="668" ht="15.75" customHeight="1">
      <c r="AA668" s="22"/>
      <c r="AB668" s="22"/>
    </row>
    <row r="669" ht="15.75" customHeight="1">
      <c r="AA669" s="22"/>
      <c r="AB669" s="22"/>
    </row>
    <row r="670" ht="15.75" customHeight="1">
      <c r="AA670" s="22"/>
      <c r="AB670" s="22"/>
    </row>
    <row r="671" ht="15.75" customHeight="1">
      <c r="AA671" s="22"/>
      <c r="AB671" s="22"/>
    </row>
    <row r="672" ht="15.75" customHeight="1">
      <c r="AA672" s="22"/>
      <c r="AB672" s="22"/>
    </row>
    <row r="673" ht="15.75" customHeight="1">
      <c r="AA673" s="22"/>
      <c r="AB673" s="22"/>
    </row>
    <row r="674" ht="15.75" customHeight="1">
      <c r="AA674" s="22"/>
      <c r="AB674" s="22"/>
    </row>
    <row r="675" ht="15.75" customHeight="1">
      <c r="AA675" s="22"/>
      <c r="AB675" s="22"/>
    </row>
    <row r="676" ht="15.75" customHeight="1">
      <c r="AA676" s="22"/>
      <c r="AB676" s="22"/>
    </row>
    <row r="677" ht="15.75" customHeight="1">
      <c r="AA677" s="22"/>
      <c r="AB677" s="22"/>
    </row>
    <row r="678" ht="15.75" customHeight="1">
      <c r="AA678" s="22"/>
      <c r="AB678" s="22"/>
    </row>
    <row r="679" ht="15.75" customHeight="1">
      <c r="AA679" s="22"/>
      <c r="AB679" s="22"/>
    </row>
    <row r="680" ht="15.75" customHeight="1">
      <c r="AA680" s="22"/>
      <c r="AB680" s="22"/>
    </row>
    <row r="681" ht="15.75" customHeight="1">
      <c r="AA681" s="22"/>
      <c r="AB681" s="22"/>
    </row>
    <row r="682" ht="15.75" customHeight="1">
      <c r="AA682" s="22"/>
      <c r="AB682" s="22"/>
    </row>
    <row r="683" ht="15.75" customHeight="1">
      <c r="AA683" s="22"/>
      <c r="AB683" s="22"/>
    </row>
    <row r="684" ht="15.75" customHeight="1">
      <c r="AA684" s="22"/>
      <c r="AB684" s="22"/>
    </row>
    <row r="685" ht="15.75" customHeight="1">
      <c r="AA685" s="22"/>
      <c r="AB685" s="22"/>
    </row>
    <row r="686" ht="15.75" customHeight="1">
      <c r="AA686" s="22"/>
      <c r="AB686" s="22"/>
    </row>
    <row r="687" ht="15.75" customHeight="1">
      <c r="AA687" s="22"/>
      <c r="AB687" s="22"/>
    </row>
    <row r="688" ht="15.75" customHeight="1">
      <c r="AA688" s="22"/>
      <c r="AB688" s="22"/>
    </row>
    <row r="689" ht="15.75" customHeight="1">
      <c r="AA689" s="22"/>
      <c r="AB689" s="22"/>
    </row>
    <row r="690" ht="15.75" customHeight="1">
      <c r="AA690" s="22"/>
      <c r="AB690" s="22"/>
    </row>
    <row r="691" ht="15.75" customHeight="1">
      <c r="AA691" s="22"/>
      <c r="AB691" s="22"/>
    </row>
    <row r="692" ht="15.75" customHeight="1">
      <c r="AA692" s="22"/>
      <c r="AB692" s="22"/>
    </row>
    <row r="693" ht="15.75" customHeight="1">
      <c r="AA693" s="22"/>
      <c r="AB693" s="22"/>
    </row>
    <row r="694" ht="15.75" customHeight="1">
      <c r="AA694" s="22"/>
      <c r="AB694" s="22"/>
    </row>
    <row r="695" ht="15.75" customHeight="1">
      <c r="AA695" s="22"/>
      <c r="AB695" s="22"/>
    </row>
    <row r="696" ht="15.75" customHeight="1">
      <c r="AA696" s="22"/>
      <c r="AB696" s="22"/>
    </row>
    <row r="697" ht="15.75" customHeight="1">
      <c r="AA697" s="22"/>
      <c r="AB697" s="22"/>
    </row>
    <row r="698" ht="15.75" customHeight="1">
      <c r="AA698" s="22"/>
      <c r="AB698" s="22"/>
    </row>
    <row r="699" ht="15.75" customHeight="1">
      <c r="AA699" s="22"/>
      <c r="AB699" s="22"/>
    </row>
    <row r="700" ht="15.75" customHeight="1">
      <c r="AA700" s="22"/>
      <c r="AB700" s="22"/>
    </row>
    <row r="701" ht="15.75" customHeight="1">
      <c r="AA701" s="22"/>
      <c r="AB701" s="22"/>
    </row>
    <row r="702" ht="15.75" customHeight="1">
      <c r="AA702" s="22"/>
      <c r="AB702" s="22"/>
    </row>
    <row r="703" ht="15.75" customHeight="1">
      <c r="AA703" s="22"/>
      <c r="AB703" s="22"/>
    </row>
    <row r="704" ht="15.75" customHeight="1">
      <c r="AA704" s="22"/>
      <c r="AB704" s="22"/>
    </row>
    <row r="705" ht="15.75" customHeight="1">
      <c r="AA705" s="22"/>
      <c r="AB705" s="22"/>
    </row>
    <row r="706" ht="15.75" customHeight="1">
      <c r="AA706" s="22"/>
      <c r="AB706" s="22"/>
    </row>
    <row r="707" ht="15.75" customHeight="1">
      <c r="AA707" s="22"/>
      <c r="AB707" s="22"/>
    </row>
    <row r="708" ht="15.75" customHeight="1">
      <c r="AA708" s="22"/>
      <c r="AB708" s="22"/>
    </row>
    <row r="709" ht="15.75" customHeight="1">
      <c r="AA709" s="22"/>
      <c r="AB709" s="22"/>
    </row>
    <row r="710" ht="15.75" customHeight="1">
      <c r="AA710" s="22"/>
      <c r="AB710" s="22"/>
    </row>
    <row r="711" ht="15.75" customHeight="1">
      <c r="AA711" s="22"/>
      <c r="AB711" s="22"/>
    </row>
    <row r="712" ht="15.75" customHeight="1">
      <c r="AA712" s="22"/>
      <c r="AB712" s="22"/>
    </row>
    <row r="713" ht="15.75" customHeight="1">
      <c r="AA713" s="22"/>
      <c r="AB713" s="22"/>
    </row>
    <row r="714" ht="15.75" customHeight="1">
      <c r="AA714" s="22"/>
      <c r="AB714" s="22"/>
    </row>
    <row r="715" ht="15.75" customHeight="1">
      <c r="AA715" s="22"/>
      <c r="AB715" s="22"/>
    </row>
    <row r="716" ht="15.75" customHeight="1">
      <c r="AA716" s="22"/>
      <c r="AB716" s="22"/>
    </row>
    <row r="717" ht="15.75" customHeight="1">
      <c r="AA717" s="22"/>
      <c r="AB717" s="22"/>
    </row>
    <row r="718" ht="15.75" customHeight="1">
      <c r="AA718" s="22"/>
      <c r="AB718" s="22"/>
    </row>
    <row r="719" ht="15.75" customHeight="1">
      <c r="AA719" s="22"/>
      <c r="AB719" s="22"/>
    </row>
    <row r="720" ht="15.75" customHeight="1">
      <c r="AA720" s="22"/>
      <c r="AB720" s="22"/>
    </row>
    <row r="721" ht="15.75" customHeight="1">
      <c r="AA721" s="22"/>
      <c r="AB721" s="22"/>
    </row>
    <row r="722" ht="15.75" customHeight="1">
      <c r="AA722" s="22"/>
      <c r="AB722" s="22"/>
    </row>
    <row r="723" ht="15.75" customHeight="1">
      <c r="AA723" s="22"/>
      <c r="AB723" s="22"/>
    </row>
    <row r="724" ht="15.75" customHeight="1">
      <c r="AA724" s="22"/>
      <c r="AB724" s="22"/>
    </row>
    <row r="725" ht="15.75" customHeight="1">
      <c r="AA725" s="22"/>
      <c r="AB725" s="22"/>
    </row>
    <row r="726" ht="15.75" customHeight="1">
      <c r="AA726" s="22"/>
      <c r="AB726" s="22"/>
    </row>
    <row r="727" ht="15.75" customHeight="1">
      <c r="AA727" s="22"/>
      <c r="AB727" s="22"/>
    </row>
    <row r="728" ht="15.75" customHeight="1">
      <c r="AA728" s="22"/>
      <c r="AB728" s="22"/>
    </row>
    <row r="729" ht="15.75" customHeight="1">
      <c r="AA729" s="22"/>
      <c r="AB729" s="22"/>
    </row>
    <row r="730" ht="15.75" customHeight="1">
      <c r="AA730" s="22"/>
      <c r="AB730" s="22"/>
    </row>
    <row r="731" ht="15.75" customHeight="1">
      <c r="AA731" s="22"/>
      <c r="AB731" s="22"/>
    </row>
    <row r="732" ht="15.75" customHeight="1">
      <c r="AA732" s="22"/>
      <c r="AB732" s="22"/>
    </row>
    <row r="733" ht="15.75" customHeight="1">
      <c r="AA733" s="22"/>
      <c r="AB733" s="22"/>
    </row>
    <row r="734" ht="15.75" customHeight="1">
      <c r="AA734" s="22"/>
      <c r="AB734" s="22"/>
    </row>
    <row r="735" ht="15.75" customHeight="1">
      <c r="AA735" s="22"/>
      <c r="AB735" s="22"/>
    </row>
    <row r="736" ht="15.75" customHeight="1">
      <c r="AA736" s="22"/>
      <c r="AB736" s="22"/>
    </row>
    <row r="737" ht="15.75" customHeight="1">
      <c r="AA737" s="22"/>
      <c r="AB737" s="22"/>
    </row>
    <row r="738" ht="15.75" customHeight="1">
      <c r="AA738" s="22"/>
      <c r="AB738" s="22"/>
    </row>
    <row r="739" ht="15.75" customHeight="1">
      <c r="AA739" s="22"/>
      <c r="AB739" s="22"/>
    </row>
    <row r="740" ht="15.75" customHeight="1">
      <c r="AA740" s="22"/>
      <c r="AB740" s="22"/>
    </row>
    <row r="741" ht="15.75" customHeight="1">
      <c r="AA741" s="22"/>
      <c r="AB741" s="22"/>
    </row>
    <row r="742" ht="15.75" customHeight="1">
      <c r="AA742" s="22"/>
      <c r="AB742" s="22"/>
    </row>
    <row r="743" ht="15.75" customHeight="1">
      <c r="AA743" s="22"/>
      <c r="AB743" s="22"/>
    </row>
    <row r="744" ht="15.75" customHeight="1">
      <c r="AA744" s="22"/>
      <c r="AB744" s="22"/>
    </row>
    <row r="745" ht="15.75" customHeight="1">
      <c r="AA745" s="22"/>
      <c r="AB745" s="22"/>
    </row>
    <row r="746" ht="15.75" customHeight="1">
      <c r="AA746" s="22"/>
      <c r="AB746" s="22"/>
    </row>
    <row r="747" ht="15.75" customHeight="1">
      <c r="AA747" s="22"/>
      <c r="AB747" s="22"/>
    </row>
    <row r="748" ht="15.75" customHeight="1">
      <c r="AA748" s="22"/>
      <c r="AB748" s="22"/>
    </row>
    <row r="749" ht="15.75" customHeight="1">
      <c r="AA749" s="22"/>
      <c r="AB749" s="22"/>
    </row>
    <row r="750" ht="15.75" customHeight="1">
      <c r="AA750" s="22"/>
      <c r="AB750" s="22"/>
    </row>
    <row r="751" ht="15.75" customHeight="1">
      <c r="AA751" s="22"/>
      <c r="AB751" s="22"/>
    </row>
    <row r="752" ht="15.75" customHeight="1">
      <c r="AA752" s="22"/>
      <c r="AB752" s="22"/>
    </row>
    <row r="753" ht="15.75" customHeight="1">
      <c r="AA753" s="22"/>
      <c r="AB753" s="22"/>
    </row>
    <row r="754" ht="15.75" customHeight="1">
      <c r="AA754" s="22"/>
      <c r="AB754" s="22"/>
    </row>
    <row r="755" ht="15.75" customHeight="1">
      <c r="AA755" s="22"/>
      <c r="AB755" s="22"/>
    </row>
    <row r="756" ht="15.75" customHeight="1">
      <c r="AA756" s="22"/>
      <c r="AB756" s="22"/>
    </row>
    <row r="757" ht="15.75" customHeight="1">
      <c r="AA757" s="22"/>
      <c r="AB757" s="22"/>
    </row>
    <row r="758" ht="15.75" customHeight="1">
      <c r="AA758" s="22"/>
      <c r="AB758" s="22"/>
    </row>
    <row r="759" ht="15.75" customHeight="1">
      <c r="AA759" s="22"/>
      <c r="AB759" s="22"/>
    </row>
    <row r="760" ht="15.75" customHeight="1">
      <c r="AA760" s="22"/>
      <c r="AB760" s="22"/>
    </row>
    <row r="761" ht="15.75" customHeight="1">
      <c r="AA761" s="22"/>
      <c r="AB761" s="22"/>
    </row>
    <row r="762" ht="15.75" customHeight="1">
      <c r="AA762" s="22"/>
      <c r="AB762" s="22"/>
    </row>
    <row r="763" ht="15.75" customHeight="1">
      <c r="AA763" s="22"/>
      <c r="AB763" s="22"/>
    </row>
    <row r="764" ht="15.75" customHeight="1">
      <c r="AA764" s="22"/>
      <c r="AB764" s="22"/>
    </row>
    <row r="765" ht="15.75" customHeight="1">
      <c r="AA765" s="22"/>
      <c r="AB765" s="22"/>
    </row>
    <row r="766" ht="15.75" customHeight="1">
      <c r="AA766" s="22"/>
      <c r="AB766" s="22"/>
    </row>
    <row r="767" ht="15.75" customHeight="1">
      <c r="AA767" s="22"/>
      <c r="AB767" s="22"/>
    </row>
    <row r="768" ht="15.75" customHeight="1">
      <c r="AA768" s="22"/>
      <c r="AB768" s="22"/>
    </row>
    <row r="769" ht="15.75" customHeight="1">
      <c r="AA769" s="22"/>
      <c r="AB769" s="22"/>
    </row>
    <row r="770" ht="15.75" customHeight="1">
      <c r="AA770" s="22"/>
      <c r="AB770" s="22"/>
    </row>
    <row r="771" ht="15.75" customHeight="1">
      <c r="AA771" s="22"/>
      <c r="AB771" s="22"/>
    </row>
    <row r="772" ht="15.75" customHeight="1">
      <c r="AA772" s="22"/>
      <c r="AB772" s="22"/>
    </row>
    <row r="773" ht="15.75" customHeight="1">
      <c r="AA773" s="22"/>
      <c r="AB773" s="22"/>
    </row>
    <row r="774" ht="15.75" customHeight="1">
      <c r="AA774" s="22"/>
      <c r="AB774" s="22"/>
    </row>
    <row r="775" ht="15.75" customHeight="1">
      <c r="AA775" s="22"/>
      <c r="AB775" s="22"/>
    </row>
    <row r="776" ht="15.75" customHeight="1">
      <c r="AA776" s="22"/>
      <c r="AB776" s="22"/>
    </row>
    <row r="777" ht="15.75" customHeight="1">
      <c r="AA777" s="22"/>
      <c r="AB777" s="22"/>
    </row>
    <row r="778" ht="15.75" customHeight="1">
      <c r="AA778" s="22"/>
      <c r="AB778" s="22"/>
    </row>
    <row r="779" ht="15.75" customHeight="1">
      <c r="AA779" s="22"/>
      <c r="AB779" s="22"/>
    </row>
    <row r="780" ht="15.75" customHeight="1">
      <c r="AA780" s="22"/>
      <c r="AB780" s="22"/>
    </row>
    <row r="781" ht="15.75" customHeight="1">
      <c r="AA781" s="22"/>
      <c r="AB781" s="22"/>
    </row>
    <row r="782" ht="15.75" customHeight="1">
      <c r="AA782" s="22"/>
      <c r="AB782" s="22"/>
    </row>
    <row r="783" ht="15.75" customHeight="1">
      <c r="AA783" s="22"/>
      <c r="AB783" s="22"/>
    </row>
    <row r="784" ht="15.75" customHeight="1">
      <c r="AA784" s="22"/>
      <c r="AB784" s="22"/>
    </row>
    <row r="785" ht="15.75" customHeight="1">
      <c r="AA785" s="22"/>
      <c r="AB785" s="22"/>
    </row>
    <row r="786" ht="15.75" customHeight="1">
      <c r="AA786" s="22"/>
      <c r="AB786" s="22"/>
    </row>
    <row r="787" ht="15.75" customHeight="1">
      <c r="AA787" s="22"/>
      <c r="AB787" s="22"/>
    </row>
    <row r="788" ht="15.75" customHeight="1">
      <c r="AA788" s="22"/>
      <c r="AB788" s="22"/>
    </row>
    <row r="789" ht="15.75" customHeight="1">
      <c r="AA789" s="22"/>
      <c r="AB789" s="22"/>
    </row>
    <row r="790" ht="15.75" customHeight="1">
      <c r="AA790" s="22"/>
      <c r="AB790" s="22"/>
    </row>
    <row r="791" ht="15.75" customHeight="1">
      <c r="AA791" s="22"/>
      <c r="AB791" s="22"/>
    </row>
    <row r="792" ht="15.75" customHeight="1">
      <c r="AA792" s="22"/>
      <c r="AB792" s="22"/>
    </row>
    <row r="793" ht="15.75" customHeight="1">
      <c r="AA793" s="22"/>
      <c r="AB793" s="22"/>
    </row>
    <row r="794" ht="15.75" customHeight="1">
      <c r="AA794" s="22"/>
      <c r="AB794" s="22"/>
    </row>
    <row r="795" ht="15.75" customHeight="1">
      <c r="AA795" s="22"/>
      <c r="AB795" s="22"/>
    </row>
    <row r="796" ht="15.75" customHeight="1">
      <c r="AA796" s="22"/>
      <c r="AB796" s="22"/>
    </row>
    <row r="797" ht="15.75" customHeight="1">
      <c r="AA797" s="22"/>
      <c r="AB797" s="22"/>
    </row>
    <row r="798" ht="15.75" customHeight="1">
      <c r="AA798" s="22"/>
      <c r="AB798" s="22"/>
    </row>
    <row r="799" ht="15.75" customHeight="1">
      <c r="AA799" s="22"/>
      <c r="AB799" s="22"/>
    </row>
    <row r="800" ht="15.75" customHeight="1">
      <c r="AA800" s="22"/>
      <c r="AB800" s="22"/>
    </row>
    <row r="801" ht="15.75" customHeight="1">
      <c r="AA801" s="22"/>
      <c r="AB801" s="22"/>
    </row>
    <row r="802" ht="15.75" customHeight="1">
      <c r="AA802" s="22"/>
      <c r="AB802" s="22"/>
    </row>
    <row r="803" ht="15.75" customHeight="1">
      <c r="AA803" s="22"/>
      <c r="AB803" s="22"/>
    </row>
    <row r="804" ht="15.75" customHeight="1">
      <c r="AA804" s="22"/>
      <c r="AB804" s="22"/>
    </row>
    <row r="805" ht="15.75" customHeight="1">
      <c r="AA805" s="22"/>
      <c r="AB805" s="22"/>
    </row>
    <row r="806" ht="15.75" customHeight="1">
      <c r="AA806" s="22"/>
      <c r="AB806" s="22"/>
    </row>
    <row r="807" ht="15.75" customHeight="1">
      <c r="AA807" s="22"/>
      <c r="AB807" s="22"/>
    </row>
    <row r="808" ht="15.75" customHeight="1">
      <c r="AA808" s="22"/>
      <c r="AB808" s="22"/>
    </row>
    <row r="809" ht="15.75" customHeight="1">
      <c r="AA809" s="22"/>
      <c r="AB809" s="22"/>
    </row>
    <row r="810" ht="15.75" customHeight="1">
      <c r="AA810" s="22"/>
      <c r="AB810" s="22"/>
    </row>
    <row r="811" ht="15.75" customHeight="1">
      <c r="AA811" s="22"/>
      <c r="AB811" s="22"/>
    </row>
    <row r="812" ht="15.75" customHeight="1">
      <c r="AA812" s="22"/>
      <c r="AB812" s="22"/>
    </row>
    <row r="813" ht="15.75" customHeight="1">
      <c r="AA813" s="22"/>
      <c r="AB813" s="22"/>
    </row>
    <row r="814" ht="15.75" customHeight="1">
      <c r="AA814" s="22"/>
      <c r="AB814" s="22"/>
    </row>
    <row r="815" ht="15.75" customHeight="1">
      <c r="AA815" s="22"/>
      <c r="AB815" s="22"/>
    </row>
    <row r="816" ht="15.75" customHeight="1">
      <c r="AA816" s="22"/>
      <c r="AB816" s="22"/>
    </row>
    <row r="817" ht="15.75" customHeight="1">
      <c r="AA817" s="22"/>
      <c r="AB817" s="22"/>
    </row>
    <row r="818" ht="15.75" customHeight="1">
      <c r="AA818" s="22"/>
      <c r="AB818" s="22"/>
    </row>
    <row r="819" ht="15.75" customHeight="1">
      <c r="AA819" s="22"/>
      <c r="AB819" s="22"/>
    </row>
    <row r="820" ht="15.75" customHeight="1">
      <c r="AA820" s="22"/>
      <c r="AB820" s="22"/>
    </row>
    <row r="821" ht="15.75" customHeight="1">
      <c r="AA821" s="22"/>
      <c r="AB821" s="22"/>
    </row>
    <row r="822" ht="15.75" customHeight="1">
      <c r="AA822" s="22"/>
      <c r="AB822" s="22"/>
    </row>
    <row r="823" ht="15.75" customHeight="1">
      <c r="AA823" s="22"/>
      <c r="AB823" s="22"/>
    </row>
    <row r="824" ht="15.75" customHeight="1">
      <c r="AA824" s="22"/>
      <c r="AB824" s="22"/>
    </row>
    <row r="825" ht="15.75" customHeight="1">
      <c r="AA825" s="22"/>
      <c r="AB825" s="22"/>
    </row>
    <row r="826" ht="15.75" customHeight="1">
      <c r="AA826" s="22"/>
      <c r="AB826" s="22"/>
    </row>
    <row r="827" ht="15.75" customHeight="1">
      <c r="AA827" s="22"/>
      <c r="AB827" s="22"/>
    </row>
    <row r="828" ht="15.75" customHeight="1">
      <c r="AA828" s="22"/>
      <c r="AB828" s="22"/>
    </row>
    <row r="829" ht="15.75" customHeight="1">
      <c r="AA829" s="22"/>
      <c r="AB829" s="22"/>
    </row>
    <row r="830" ht="15.75" customHeight="1">
      <c r="AA830" s="22"/>
      <c r="AB830" s="22"/>
    </row>
    <row r="831" ht="15.75" customHeight="1">
      <c r="AA831" s="22"/>
      <c r="AB831" s="22"/>
    </row>
    <row r="832" ht="15.75" customHeight="1">
      <c r="AA832" s="22"/>
      <c r="AB832" s="22"/>
    </row>
    <row r="833" ht="15.75" customHeight="1">
      <c r="AA833" s="22"/>
      <c r="AB833" s="22"/>
    </row>
    <row r="834" ht="15.75" customHeight="1">
      <c r="AA834" s="22"/>
      <c r="AB834" s="22"/>
    </row>
    <row r="835" ht="15.75" customHeight="1">
      <c r="AA835" s="22"/>
      <c r="AB835" s="22"/>
    </row>
    <row r="836" ht="15.75" customHeight="1">
      <c r="AA836" s="22"/>
      <c r="AB836" s="22"/>
    </row>
    <row r="837" ht="15.75" customHeight="1">
      <c r="AA837" s="22"/>
      <c r="AB837" s="22"/>
    </row>
    <row r="838" ht="15.75" customHeight="1">
      <c r="AA838" s="22"/>
      <c r="AB838" s="22"/>
    </row>
    <row r="839" ht="15.75" customHeight="1">
      <c r="AA839" s="22"/>
      <c r="AB839" s="22"/>
    </row>
    <row r="840" ht="15.75" customHeight="1">
      <c r="AA840" s="22"/>
      <c r="AB840" s="22"/>
    </row>
    <row r="841" ht="15.75" customHeight="1">
      <c r="AA841" s="22"/>
      <c r="AB841" s="22"/>
    </row>
    <row r="842" ht="15.75" customHeight="1">
      <c r="AA842" s="22"/>
      <c r="AB842" s="22"/>
    </row>
    <row r="843" ht="15.75" customHeight="1">
      <c r="AA843" s="22"/>
      <c r="AB843" s="22"/>
    </row>
    <row r="844" ht="15.75" customHeight="1">
      <c r="AA844" s="22"/>
      <c r="AB844" s="22"/>
    </row>
    <row r="845" ht="15.75" customHeight="1">
      <c r="AA845" s="22"/>
      <c r="AB845" s="22"/>
    </row>
    <row r="846" ht="15.75" customHeight="1">
      <c r="AA846" s="22"/>
      <c r="AB846" s="22"/>
    </row>
    <row r="847" ht="15.75" customHeight="1">
      <c r="AA847" s="22"/>
      <c r="AB847" s="22"/>
    </row>
    <row r="848" ht="15.75" customHeight="1">
      <c r="AA848" s="22"/>
      <c r="AB848" s="22"/>
    </row>
    <row r="849" ht="15.75" customHeight="1">
      <c r="AA849" s="22"/>
      <c r="AB849" s="22"/>
    </row>
    <row r="850" ht="15.75" customHeight="1">
      <c r="AA850" s="22"/>
      <c r="AB850" s="22"/>
    </row>
    <row r="851" ht="15.75" customHeight="1">
      <c r="AA851" s="22"/>
      <c r="AB851" s="22"/>
    </row>
    <row r="852" ht="15.75" customHeight="1">
      <c r="AA852" s="22"/>
      <c r="AB852" s="22"/>
    </row>
    <row r="853" ht="15.75" customHeight="1">
      <c r="AA853" s="22"/>
      <c r="AB853" s="22"/>
    </row>
    <row r="854" ht="15.75" customHeight="1">
      <c r="AA854" s="22"/>
      <c r="AB854" s="22"/>
    </row>
    <row r="855" ht="15.75" customHeight="1">
      <c r="AA855" s="22"/>
      <c r="AB855" s="22"/>
    </row>
    <row r="856" ht="15.75" customHeight="1">
      <c r="AA856" s="22"/>
      <c r="AB856" s="22"/>
    </row>
    <row r="857" ht="15.75" customHeight="1">
      <c r="AA857" s="22"/>
      <c r="AB857" s="22"/>
    </row>
    <row r="858" ht="15.75" customHeight="1">
      <c r="AA858" s="22"/>
      <c r="AB858" s="22"/>
    </row>
    <row r="859" ht="15.75" customHeight="1">
      <c r="AA859" s="22"/>
      <c r="AB859" s="22"/>
    </row>
    <row r="860" ht="15.75" customHeight="1">
      <c r="AA860" s="22"/>
      <c r="AB860" s="22"/>
    </row>
    <row r="861" ht="15.75" customHeight="1">
      <c r="AA861" s="22"/>
      <c r="AB861" s="22"/>
    </row>
    <row r="862" ht="15.75" customHeight="1">
      <c r="AA862" s="22"/>
      <c r="AB862" s="22"/>
    </row>
    <row r="863" ht="15.75" customHeight="1">
      <c r="AA863" s="22"/>
      <c r="AB863" s="22"/>
    </row>
    <row r="864" ht="15.75" customHeight="1">
      <c r="AA864" s="22"/>
      <c r="AB864" s="22"/>
    </row>
    <row r="865" ht="15.75" customHeight="1">
      <c r="AA865" s="22"/>
      <c r="AB865" s="22"/>
    </row>
    <row r="866" ht="15.75" customHeight="1">
      <c r="AA866" s="22"/>
      <c r="AB866" s="22"/>
    </row>
    <row r="867" ht="15.75" customHeight="1">
      <c r="AA867" s="22"/>
      <c r="AB867" s="22"/>
    </row>
    <row r="868" ht="15.75" customHeight="1">
      <c r="AA868" s="22"/>
      <c r="AB868" s="22"/>
    </row>
    <row r="869" ht="15.75" customHeight="1">
      <c r="AA869" s="22"/>
      <c r="AB869" s="22"/>
    </row>
    <row r="870" ht="15.75" customHeight="1">
      <c r="AA870" s="22"/>
      <c r="AB870" s="22"/>
    </row>
    <row r="871" ht="15.75" customHeight="1">
      <c r="AA871" s="22"/>
      <c r="AB871" s="22"/>
    </row>
    <row r="872" ht="15.75" customHeight="1">
      <c r="AA872" s="22"/>
      <c r="AB872" s="22"/>
    </row>
    <row r="873" ht="15.75" customHeight="1">
      <c r="AA873" s="22"/>
      <c r="AB873" s="22"/>
    </row>
    <row r="874" ht="15.75" customHeight="1">
      <c r="AA874" s="22"/>
      <c r="AB874" s="22"/>
    </row>
    <row r="875" ht="15.75" customHeight="1">
      <c r="AA875" s="22"/>
      <c r="AB875" s="22"/>
    </row>
    <row r="876" ht="15.75" customHeight="1">
      <c r="AA876" s="22"/>
      <c r="AB876" s="22"/>
    </row>
    <row r="877" ht="15.75" customHeight="1">
      <c r="AA877" s="22"/>
      <c r="AB877" s="22"/>
    </row>
    <row r="878" ht="15.75" customHeight="1">
      <c r="AA878" s="22"/>
      <c r="AB878" s="22"/>
    </row>
    <row r="879" ht="15.75" customHeight="1">
      <c r="AA879" s="22"/>
      <c r="AB879" s="22"/>
    </row>
    <row r="880" ht="15.75" customHeight="1">
      <c r="AA880" s="22"/>
      <c r="AB880" s="22"/>
    </row>
    <row r="881" ht="15.75" customHeight="1">
      <c r="AA881" s="22"/>
      <c r="AB881" s="22"/>
    </row>
    <row r="882" ht="15.75" customHeight="1">
      <c r="AA882" s="22"/>
      <c r="AB882" s="22"/>
    </row>
    <row r="883" ht="15.75" customHeight="1">
      <c r="AA883" s="22"/>
      <c r="AB883" s="22"/>
    </row>
    <row r="884" ht="15.75" customHeight="1">
      <c r="AA884" s="22"/>
      <c r="AB884" s="22"/>
    </row>
    <row r="885" ht="15.75" customHeight="1">
      <c r="AA885" s="22"/>
      <c r="AB885" s="22"/>
    </row>
    <row r="886" ht="15.75" customHeight="1">
      <c r="AA886" s="22"/>
      <c r="AB886" s="22"/>
    </row>
    <row r="887" ht="15.75" customHeight="1">
      <c r="AA887" s="22"/>
      <c r="AB887" s="22"/>
    </row>
    <row r="888" ht="15.75" customHeight="1">
      <c r="AA888" s="22"/>
      <c r="AB888" s="22"/>
    </row>
    <row r="889" ht="15.75" customHeight="1">
      <c r="AA889" s="22"/>
      <c r="AB889" s="22"/>
    </row>
    <row r="890" ht="15.75" customHeight="1">
      <c r="AA890" s="22"/>
      <c r="AB890" s="22"/>
    </row>
    <row r="891" ht="15.75" customHeight="1">
      <c r="AA891" s="22"/>
      <c r="AB891" s="22"/>
    </row>
    <row r="892" ht="15.75" customHeight="1">
      <c r="AA892" s="22"/>
      <c r="AB892" s="22"/>
    </row>
    <row r="893" ht="15.75" customHeight="1">
      <c r="AA893" s="22"/>
      <c r="AB893" s="22"/>
    </row>
    <row r="894" ht="15.75" customHeight="1">
      <c r="AA894" s="22"/>
      <c r="AB894" s="22"/>
    </row>
    <row r="895" ht="15.75" customHeight="1">
      <c r="AA895" s="22"/>
      <c r="AB895" s="22"/>
    </row>
    <row r="896" ht="15.75" customHeight="1">
      <c r="AA896" s="22"/>
      <c r="AB896" s="22"/>
    </row>
    <row r="897" ht="15.75" customHeight="1">
      <c r="AA897" s="22"/>
      <c r="AB897" s="22"/>
    </row>
    <row r="898" ht="15.75" customHeight="1">
      <c r="AA898" s="22"/>
      <c r="AB898" s="22"/>
    </row>
    <row r="899" ht="15.75" customHeight="1">
      <c r="AA899" s="22"/>
      <c r="AB899" s="22"/>
    </row>
    <row r="900" ht="15.75" customHeight="1">
      <c r="AA900" s="22"/>
      <c r="AB900" s="22"/>
    </row>
    <row r="901" ht="15.75" customHeight="1">
      <c r="AA901" s="22"/>
      <c r="AB901" s="22"/>
    </row>
    <row r="902" ht="15.75" customHeight="1">
      <c r="AA902" s="22"/>
      <c r="AB902" s="22"/>
    </row>
    <row r="903" ht="15.75" customHeight="1">
      <c r="AA903" s="22"/>
      <c r="AB903" s="22"/>
    </row>
    <row r="904" ht="15.75" customHeight="1">
      <c r="AA904" s="22"/>
      <c r="AB904" s="22"/>
    </row>
    <row r="905" ht="15.75" customHeight="1">
      <c r="AA905" s="22"/>
      <c r="AB905" s="22"/>
    </row>
    <row r="906" ht="15.75" customHeight="1">
      <c r="AA906" s="22"/>
      <c r="AB906" s="22"/>
    </row>
    <row r="907" ht="15.75" customHeight="1">
      <c r="AA907" s="22"/>
      <c r="AB907" s="22"/>
    </row>
    <row r="908" ht="15.75" customHeight="1">
      <c r="AA908" s="22"/>
      <c r="AB908" s="22"/>
    </row>
    <row r="909" ht="15.75" customHeight="1">
      <c r="AA909" s="22"/>
      <c r="AB909" s="22"/>
    </row>
    <row r="910" ht="15.75" customHeight="1">
      <c r="AA910" s="22"/>
      <c r="AB910" s="22"/>
    </row>
    <row r="911" ht="15.75" customHeight="1">
      <c r="AA911" s="22"/>
      <c r="AB911" s="22"/>
    </row>
    <row r="912" ht="15.75" customHeight="1">
      <c r="AA912" s="22"/>
      <c r="AB912" s="22"/>
    </row>
    <row r="913" ht="15.75" customHeight="1">
      <c r="AA913" s="22"/>
      <c r="AB913" s="22"/>
    </row>
    <row r="914" ht="15.75" customHeight="1">
      <c r="AA914" s="22"/>
      <c r="AB914" s="22"/>
    </row>
    <row r="915" ht="15.75" customHeight="1">
      <c r="AA915" s="22"/>
      <c r="AB915" s="22"/>
    </row>
    <row r="916" ht="15.75" customHeight="1">
      <c r="AA916" s="22"/>
      <c r="AB916" s="22"/>
    </row>
    <row r="917" ht="15.75" customHeight="1">
      <c r="AA917" s="22"/>
      <c r="AB917" s="22"/>
    </row>
    <row r="918" ht="15.75" customHeight="1">
      <c r="AA918" s="22"/>
      <c r="AB918" s="22"/>
    </row>
    <row r="919" ht="15.75" customHeight="1">
      <c r="AA919" s="22"/>
      <c r="AB919" s="22"/>
    </row>
    <row r="920" ht="15.75" customHeight="1">
      <c r="AA920" s="22"/>
      <c r="AB920" s="22"/>
    </row>
    <row r="921" ht="15.75" customHeight="1">
      <c r="AA921" s="22"/>
      <c r="AB921" s="22"/>
    </row>
    <row r="922" ht="15.75" customHeight="1">
      <c r="AA922" s="22"/>
      <c r="AB922" s="22"/>
    </row>
    <row r="923" ht="15.75" customHeight="1">
      <c r="AA923" s="22"/>
      <c r="AB923" s="22"/>
    </row>
    <row r="924" ht="15.75" customHeight="1">
      <c r="AA924" s="22"/>
      <c r="AB924" s="22"/>
    </row>
    <row r="925" ht="15.75" customHeight="1">
      <c r="AA925" s="22"/>
      <c r="AB925" s="22"/>
    </row>
    <row r="926" ht="15.75" customHeight="1">
      <c r="AA926" s="22"/>
      <c r="AB926" s="22"/>
    </row>
    <row r="927" ht="15.75" customHeight="1">
      <c r="AA927" s="22"/>
      <c r="AB927" s="22"/>
    </row>
    <row r="928" ht="15.75" customHeight="1">
      <c r="AA928" s="22"/>
      <c r="AB928" s="22"/>
    </row>
    <row r="929" ht="15.75" customHeight="1">
      <c r="AA929" s="22"/>
      <c r="AB929" s="22"/>
    </row>
    <row r="930" ht="15.75" customHeight="1">
      <c r="AA930" s="22"/>
      <c r="AB930" s="22"/>
    </row>
    <row r="931" ht="15.75" customHeight="1">
      <c r="AA931" s="22"/>
      <c r="AB931" s="22"/>
    </row>
    <row r="932" ht="15.75" customHeight="1">
      <c r="AA932" s="22"/>
      <c r="AB932" s="22"/>
    </row>
    <row r="933" ht="15.75" customHeight="1">
      <c r="AA933" s="22"/>
      <c r="AB933" s="22"/>
    </row>
    <row r="934" ht="15.75" customHeight="1">
      <c r="AA934" s="22"/>
      <c r="AB934" s="22"/>
    </row>
    <row r="935" ht="15.75" customHeight="1">
      <c r="AA935" s="22"/>
      <c r="AB935" s="22"/>
    </row>
    <row r="936" ht="15.75" customHeight="1">
      <c r="AA936" s="22"/>
      <c r="AB936" s="22"/>
    </row>
    <row r="937" ht="15.75" customHeight="1">
      <c r="AA937" s="22"/>
      <c r="AB937" s="22"/>
    </row>
    <row r="938" ht="15.75" customHeight="1">
      <c r="AA938" s="22"/>
      <c r="AB938" s="22"/>
    </row>
    <row r="939" ht="15.75" customHeight="1">
      <c r="AA939" s="22"/>
      <c r="AB939" s="22"/>
    </row>
    <row r="940" ht="15.75" customHeight="1">
      <c r="AA940" s="22"/>
      <c r="AB940" s="22"/>
    </row>
    <row r="941" ht="15.75" customHeight="1">
      <c r="AA941" s="22"/>
      <c r="AB941" s="22"/>
    </row>
    <row r="942" ht="15.75" customHeight="1">
      <c r="AA942" s="22"/>
      <c r="AB942" s="22"/>
    </row>
    <row r="943" ht="15.75" customHeight="1">
      <c r="AA943" s="22"/>
      <c r="AB943" s="22"/>
    </row>
    <row r="944" ht="15.75" customHeight="1">
      <c r="AA944" s="22"/>
      <c r="AB944" s="22"/>
    </row>
    <row r="945" ht="15.75" customHeight="1">
      <c r="AA945" s="22"/>
      <c r="AB945" s="22"/>
    </row>
    <row r="946" ht="15.75" customHeight="1">
      <c r="AA946" s="22"/>
      <c r="AB946" s="22"/>
    </row>
    <row r="947" ht="15.75" customHeight="1">
      <c r="AA947" s="22"/>
      <c r="AB947" s="22"/>
    </row>
    <row r="948" ht="15.75" customHeight="1">
      <c r="AA948" s="22"/>
      <c r="AB948" s="22"/>
    </row>
    <row r="949" ht="15.75" customHeight="1">
      <c r="AA949" s="22"/>
      <c r="AB949" s="22"/>
    </row>
    <row r="950" ht="15.75" customHeight="1">
      <c r="AA950" s="22"/>
      <c r="AB950" s="22"/>
    </row>
    <row r="951" ht="15.75" customHeight="1">
      <c r="AA951" s="22"/>
      <c r="AB951" s="22"/>
    </row>
    <row r="952" ht="15.75" customHeight="1">
      <c r="AA952" s="22"/>
      <c r="AB952" s="22"/>
    </row>
    <row r="953" ht="15.75" customHeight="1">
      <c r="AA953" s="22"/>
      <c r="AB953" s="22"/>
    </row>
    <row r="954" ht="15.75" customHeight="1">
      <c r="AA954" s="22"/>
      <c r="AB954" s="22"/>
    </row>
    <row r="955" ht="15.75" customHeight="1">
      <c r="AA955" s="22"/>
      <c r="AB955" s="22"/>
    </row>
    <row r="956" ht="15.75" customHeight="1">
      <c r="AA956" s="22"/>
      <c r="AB956" s="22"/>
    </row>
    <row r="957" ht="15.75" customHeight="1">
      <c r="AA957" s="22"/>
      <c r="AB957" s="22"/>
    </row>
    <row r="958" ht="15.75" customHeight="1">
      <c r="AA958" s="22"/>
      <c r="AB958" s="22"/>
    </row>
    <row r="959" ht="15.75" customHeight="1">
      <c r="AA959" s="22"/>
      <c r="AB959" s="22"/>
    </row>
    <row r="960" ht="15.75" customHeight="1">
      <c r="AA960" s="22"/>
      <c r="AB960" s="22"/>
    </row>
    <row r="961" ht="15.75" customHeight="1">
      <c r="AA961" s="22"/>
      <c r="AB961" s="22"/>
    </row>
    <row r="962" ht="15.75" customHeight="1">
      <c r="AA962" s="22"/>
      <c r="AB962" s="22"/>
    </row>
    <row r="963" ht="15.75" customHeight="1">
      <c r="AA963" s="22"/>
      <c r="AB963" s="22"/>
    </row>
  </sheetData>
  <conditionalFormatting sqref="C3:C15 C17:C29">
    <cfRule type="containsText" dxfId="8" priority="1" operator="containsText" text="(*/*)">
      <formula>NOT(ISERROR(SEARCH(("(*/*)"),(C3))))</formula>
    </cfRule>
  </conditionalFormatting>
  <conditionalFormatting sqref="C3:C15 C17:C29">
    <cfRule type="containsText" dxfId="2" priority="2" operator="containsText" text="(*O)">
      <formula>NOT(ISERROR(SEARCH(("(*O)"),(C3))))</formula>
    </cfRule>
  </conditionalFormatting>
  <conditionalFormatting sqref="C3:C15 C17:C29">
    <cfRule type="containsText" dxfId="9" priority="3" operator="containsText" text="(*D)">
      <formula>NOT(ISERROR(SEARCH(("(*D)"),(C3))))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2025-04-06T16:50:03Z</dcterms:created>
  <dc:creator>Shawn Olsavsky</dc:creator>
</cp:coreProperties>
</file>